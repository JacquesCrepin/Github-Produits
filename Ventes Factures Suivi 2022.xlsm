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7A2D7E96-6E34-419A-AE5F-296B3A7E7977}"/>
  <workbookPr showInkAnnotation="0" codeName="ThisWorkbook" autoCompressPictures="0"/>
  <bookViews>
    <workbookView showHorizontalScroll="0" xWindow="780" yWindow="0" windowWidth="31720" windowHeight="19820" tabRatio="703"/>
  </bookViews>
  <sheets>
    <sheet name="Accueil" sheetId="3" r:id="rId1"/>
    <sheet name="Clients" sheetId="7" state="veryHidden" r:id="rId2"/>
    <sheet name="Objets" sheetId="5" state="veryHidden" r:id="rId3"/>
    <sheet name="Ventes" sheetId="8" state="veryHidden" r:id="rId4"/>
    <sheet name="Facture" sheetId="1" state="veryHidden" r:id="rId5"/>
    <sheet name="Gestion des accès" sheetId="2" state="veryHidden" r:id="rId6"/>
    <sheet name="Boutons" sheetId="12" state="veryHidden" r:id="rId7"/>
    <sheet name="Signature" sheetId="4" state="veryHidden" r:id="rId8"/>
    <sheet name="Suivi" sheetId="10" state="veryHidden" r:id="rId9"/>
    <sheet name="TablesStrings" sheetId="16" state="veryHidden" r:id="rId10"/>
  </sheets>
  <definedNames>
    <definedName name="_annee">Accueil!$J$6</definedName>
    <definedName name="_anneeExercice">Facture!$B$22</definedName>
    <definedName name="_archive">Accueil!$A$2</definedName>
    <definedName name="_dateArrete">Facture!$D$29</definedName>
    <definedName name="_dateEdit">Accueil!$J$10</definedName>
    <definedName name="_dateEmis">Facture!$C$22</definedName>
    <definedName name="_dateLimitPaie">Facture!$D$22</definedName>
    <definedName name="_feuilles">'Gestion des accès'!$A$6:$A$19</definedName>
    <definedName name="_fonctionAppAccueil">Accueil!$J$8</definedName>
    <definedName name="_fonctionAppGestionAcces">'Gestion des accès'!$B$3</definedName>
    <definedName name="_Gerer_les_ventes">#REF!</definedName>
    <definedName name="_Logo_Lycee">#REF!</definedName>
    <definedName name="_maj">Accueil!$A$1</definedName>
    <definedName name="_motPasse">'Gestion des accès'!$B$5</definedName>
    <definedName name="_msg1_1">#REF!</definedName>
    <definedName name="_msg1_2">#REF!</definedName>
    <definedName name="_msg10">#REF!</definedName>
    <definedName name="_msg11">#REF!</definedName>
    <definedName name="_msg12">#REF!</definedName>
    <definedName name="_msg13">#REF!</definedName>
    <definedName name="_msg14">#REF!</definedName>
    <definedName name="_msg15">#REF!</definedName>
    <definedName name="_msg16">#REF!</definedName>
    <definedName name="_msg17">#REF!</definedName>
    <definedName name="_msg18">#REF!</definedName>
    <definedName name="_msg19">#REF!</definedName>
    <definedName name="_msg2_1">#REF!</definedName>
    <definedName name="_msg2_2">#REF!</definedName>
    <definedName name="_msg20">#REF!</definedName>
    <definedName name="_msg21">#REF!</definedName>
    <definedName name="_msg22">#REF!</definedName>
    <definedName name="_msg23">#REF!</definedName>
    <definedName name="_msg24">#REF!</definedName>
    <definedName name="_msg25">#REF!</definedName>
    <definedName name="_msg26">#REF!</definedName>
    <definedName name="_msg27">#REF!</definedName>
    <definedName name="_msg28">#REF!</definedName>
    <definedName name="_msg29">#REF!</definedName>
    <definedName name="_msg3">#REF!</definedName>
    <definedName name="_msg30">#REF!</definedName>
    <definedName name="_msg31">#REF!</definedName>
    <definedName name="_msg32">#REF!</definedName>
    <definedName name="_msg33">#REF!</definedName>
    <definedName name="_msg34">#REF!</definedName>
    <definedName name="_msg35">#REF!</definedName>
    <definedName name="_msg36">#REF!</definedName>
    <definedName name="_msg36_2">#REF!</definedName>
    <definedName name="_msg37">#REF!</definedName>
    <definedName name="_msg38">#REF!</definedName>
    <definedName name="_msg39">#REF!</definedName>
    <definedName name="_msg4">#REF!</definedName>
    <definedName name="_msg40">#REF!</definedName>
    <definedName name="_msg41">#REF!</definedName>
    <definedName name="_msg42">#REF!</definedName>
    <definedName name="_msg43">#REF!</definedName>
    <definedName name="_msg44">#REF!</definedName>
    <definedName name="_msg45">#REF!</definedName>
    <definedName name="_msg46">#REF!</definedName>
    <definedName name="_msg47">#REF!</definedName>
    <definedName name="_msg48">#REF!</definedName>
    <definedName name="_msg49">#REF!</definedName>
    <definedName name="_msg5">#REF!</definedName>
    <definedName name="_msg50">#REF!</definedName>
    <definedName name="_msg51">#REF!</definedName>
    <definedName name="_msg52">#REF!</definedName>
    <definedName name="_msg53">#REF!</definedName>
    <definedName name="_msg54">#REF!</definedName>
    <definedName name="_msg55">#REF!</definedName>
    <definedName name="_msg56">#REF!</definedName>
    <definedName name="_msg57">#REF!</definedName>
    <definedName name="_msg58">#REF!</definedName>
    <definedName name="_msg59">#REF!</definedName>
    <definedName name="_msg6">#REF!</definedName>
    <definedName name="_msg60">#REF!</definedName>
    <definedName name="_msg61">#REF!</definedName>
    <definedName name="_msg62">#REF!</definedName>
    <definedName name="_msg63">#REF!</definedName>
    <definedName name="_msg64">#REF!</definedName>
    <definedName name="_msg65">#REF!</definedName>
    <definedName name="_msg66">#REF!</definedName>
    <definedName name="_msg67">#REF!</definedName>
    <definedName name="_msg68">#REF!</definedName>
    <definedName name="_msg69">#REF!</definedName>
    <definedName name="_msg7">#REF!</definedName>
    <definedName name="_msg70">#REF!</definedName>
    <definedName name="_msg71">#REF!</definedName>
    <definedName name="_msg8">#REF!</definedName>
    <definedName name="_msg9">#REF!</definedName>
    <definedName name="_nomClient">Facture!$D$6</definedName>
    <definedName name="_numeroOrdre">Facture!$A$22</definedName>
    <definedName name="_numFacture">Facture!$F$22</definedName>
    <definedName name="_periode">Facture!$B$61</definedName>
    <definedName name="_rubriques">'Gestion des accès'!$A$5:$A$19</definedName>
    <definedName name="_signature1">Facture!$B$32</definedName>
    <definedName name="_signature2">Facture!$F$32</definedName>
    <definedName name="_sommedue">Facture!$E$22</definedName>
    <definedName name="AjoutPaiements2">"AjoutPaiements"</definedName>
    <definedName name="ArreterFonction">"ArrêterFonction"</definedName>
    <definedName name="BoutonModèle2">"BoutonModèle"</definedName>
    <definedName name="EditerFactur">"EditerFacture"</definedName>
    <definedName name="GererClients">"GérerClients"</definedName>
    <definedName name="GérerClients">Boutons!$A$23</definedName>
    <definedName name="Signature2">"Signature"</definedName>
    <definedName name="Toto">"Signature"</definedName>
    <definedName name="_xlnm.Print_Area" localSheetId="4">Facture!$A$1:$F$100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2" l="1"/>
  <c r="B15" i="2"/>
  <c r="B12" i="2"/>
  <c r="B6" i="2"/>
  <c r="B7" i="2"/>
  <c r="B8" i="2"/>
  <c r="B9" i="2"/>
  <c r="B10" i="2"/>
  <c r="B11" i="2"/>
  <c r="B13" i="2"/>
  <c r="B14" i="2"/>
  <c r="B16" i="2"/>
  <c r="B17" i="2"/>
  <c r="B18" i="2"/>
  <c r="M134" i="7"/>
  <c r="L134" i="7"/>
  <c r="K134" i="7"/>
  <c r="J134" i="7"/>
  <c r="I134" i="7"/>
  <c r="H134" i="7"/>
  <c r="G134" i="7"/>
  <c r="F134" i="7"/>
  <c r="E134" i="7"/>
  <c r="D134" i="7"/>
  <c r="N134" i="7"/>
  <c r="O134" i="7"/>
  <c r="F5" i="10"/>
  <c r="D27" i="1"/>
  <c r="E65" i="1"/>
  <c r="B56" i="1"/>
  <c r="B55" i="1"/>
  <c r="B54" i="1"/>
  <c r="B53" i="1"/>
  <c r="B52" i="1"/>
  <c r="F36" i="1"/>
  <c r="B32" i="1"/>
</calcChain>
</file>

<file path=xl/sharedStrings.xml><?xml version="1.0" encoding="utf-8"?>
<sst xmlns="http://schemas.openxmlformats.org/spreadsheetml/2006/main" count="689" uniqueCount="555">
  <si>
    <t xml:space="preserve"> </t>
  </si>
  <si>
    <t>1234</t>
  </si>
  <si>
    <t>2345</t>
  </si>
  <si>
    <t>3456</t>
  </si>
  <si>
    <t>Objet</t>
  </si>
  <si>
    <t>Barquette d'entrée (petite)</t>
  </si>
  <si>
    <t>Prix_Unitaire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</si>
  <si>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</si>
  <si>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</si>
  <si>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</si>
  <si>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</si>
  <si>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</si>
  <si>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</si>
  <si>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</si>
  <si>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</si>
  <si>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</si>
  <si>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</si>
  <si>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</si>
  <si>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</si>
  <si>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Mme ARBINET Marion</t>
  </si>
  <si>
    <t>BASSOM</t>
  </si>
  <si>
    <t>Mme BASSOM</t>
  </si>
  <si>
    <t>Abrg_Client</t>
  </si>
  <si>
    <t>Client</t>
  </si>
  <si>
    <t>datevente</t>
  </si>
  <si>
    <t>mois</t>
  </si>
  <si>
    <t>Objetvendu</t>
  </si>
  <si>
    <t>quantité</t>
  </si>
  <si>
    <t>prixunit</t>
  </si>
  <si>
    <t>Prixvendu</t>
  </si>
  <si>
    <t>ClientAbrégé</t>
  </si>
  <si>
    <t>Cette feuille est cachée  en permanence (VeryHidden)et ne sert qu'à stocker la signature d'une manière sécurisée avec un mot de passe Vba</t>
  </si>
  <si>
    <t>Cette feuille est cachée  en permanence (VeryHidden)et ne sert qu'à stocker les boutons d'une manière sécurisée avec un mot de passe Vba</t>
  </si>
  <si>
    <t>Fonction</t>
  </si>
  <si>
    <t>Accès au feuilles suivant fonction</t>
  </si>
  <si>
    <t>Gérer les ventes.</t>
  </si>
  <si>
    <t>Lycée professionnel</t>
  </si>
  <si>
    <t>SIRET</t>
  </si>
  <si>
    <t>196 201 925 000 19</t>
  </si>
  <si>
    <t>TELEPHONE</t>
  </si>
  <si>
    <t>03 21 61 99 09</t>
  </si>
  <si>
    <t>FAX</t>
  </si>
  <si>
    <t>03 21 61 99 08</t>
  </si>
  <si>
    <t>Le lycée n'est pas assujetti à la TVA</t>
  </si>
  <si>
    <t xml:space="preserve">TITRE EXECUTOIRE </t>
  </si>
  <si>
    <t>valant facture</t>
  </si>
  <si>
    <t>Le présent titre est exécutoire en application de l’article L252A du livre des procédures fiscales</t>
  </si>
  <si>
    <t>pris, émis et rendu exécutoire conformément aux dispositions de l'article R421-68 du code de l'Education.</t>
  </si>
  <si>
    <t>Emis ou rendu 
exécutoire le</t>
  </si>
  <si>
    <t xml:space="preserve">Je vous prie de bien vouloir verser à reception du présent titre exécutoire, la somme dont le montant figure dans la colonne « somme due » </t>
  </si>
  <si>
    <t>selon les indications données en dessous du présent titre.</t>
  </si>
  <si>
    <t>Arrête le présent titre à la somme de :</t>
  </si>
  <si>
    <t>Fait à Bruay-La-Buissière, le</t>
  </si>
  <si>
    <t>L'ordonnateur : le Proviseur</t>
  </si>
  <si>
    <t>La Gestionnaire</t>
  </si>
  <si>
    <t>Mme Véronique GUILBERT</t>
  </si>
  <si>
    <t>COMPTABLE CHARGE DU RECOUVREMENT</t>
  </si>
  <si>
    <t>Moyens de règlement</t>
  </si>
  <si>
    <t>Monsieur l'agent comptable</t>
  </si>
  <si>
    <t>La somme due est à verser dès réception au régisseur de l'établissement au choix :</t>
  </si>
  <si>
    <t>Lycée Carnot</t>
  </si>
  <si>
    <t xml:space="preserve">Par chèque bancaire ou postal à l'ordre de l'Agent comptable du LP Mendès France de Bruay, </t>
  </si>
  <si>
    <t>14, rue Alfred Leroy - B.P. 50</t>
  </si>
  <si>
    <r>
      <t xml:space="preserve">Par virement sur le compte du LP Mendès France de Bruay : </t>
    </r>
    <r>
      <rPr>
        <sz val="12"/>
        <color theme="1"/>
        <rFont val="Calibri"/>
        <family val="2"/>
        <scheme val="minor"/>
      </rPr>
      <t>Trésor Public n° 10071 62000 00001010668 19</t>
    </r>
  </si>
  <si>
    <t>62701 Bruay-La-Buissière Cedex</t>
  </si>
  <si>
    <t>En espèces à l'intendance du LP Mendès  France à Bruay</t>
  </si>
  <si>
    <t>03.21.64.65.00</t>
  </si>
  <si>
    <t>03.21.64.65.03</t>
  </si>
  <si>
    <t xml:space="preserve">Pour tout renseignement, ou si vous avez une réclamation amiable à formuler, </t>
  </si>
  <si>
    <t>RIB - TP ARRAS</t>
  </si>
  <si>
    <t>FR76 1007 1620 0000 0010 1066 819</t>
  </si>
  <si>
    <t>adressez-vous à l'intendance du LP Mendès France (tel : 03 21 61 99 09),</t>
  </si>
  <si>
    <t>BIC</t>
  </si>
  <si>
    <t>TRPUFRP1</t>
  </si>
  <si>
    <t>La contestation amiable ne suspend pas le délai de saisine du juge</t>
  </si>
  <si>
    <t>INFORMATIONS A JOINDRE AU REGLEMENT</t>
  </si>
  <si>
    <t>LP Mendès France</t>
  </si>
  <si>
    <t>Délais et voies de recours</t>
  </si>
  <si>
    <t>DEBITEUR</t>
  </si>
  <si>
    <t xml:space="preserve">Le recouvrement des titres exécutoires est poursuivi jusqu’à opposition </t>
  </si>
  <si>
    <t>DATE</t>
  </si>
  <si>
    <t>devant la juridiction compétente (article R 421-68 du code de l'Education)</t>
  </si>
  <si>
    <t>A PAYER POUR LE</t>
  </si>
  <si>
    <t>Toute contestation sur le bien fondé d’une créance de nature administrative doit être portée,</t>
  </si>
  <si>
    <t>REFERENCES</t>
  </si>
  <si>
    <t>dans le délai de deux mois suivant sa notification, devant la juridiction administrative</t>
  </si>
  <si>
    <t>MONTANT</t>
  </si>
  <si>
    <t>compétente (décret n° 65-29 du 11/01/1965 modifié).</t>
  </si>
  <si>
    <t>OBJET ET DECOMPTE DE LA RECETTE</t>
  </si>
  <si>
    <t>Date de vente</t>
  </si>
  <si>
    <t>Objet vendu</t>
  </si>
  <si>
    <t>Prix Unitaire</t>
  </si>
  <si>
    <t>Quantité</t>
  </si>
  <si>
    <t>Total Vente</t>
  </si>
  <si>
    <t>ETABLISSEMENT PUBLIC</t>
  </si>
  <si>
    <t>NOM DU DEBITEUR</t>
  </si>
  <si>
    <t>62701 BRUAY-LA-BUISSIERE Cedex</t>
  </si>
  <si>
    <t xml:space="preserve">    Rue de Saint-Omer</t>
  </si>
  <si>
    <t xml:space="preserve">    B.P. 35</t>
  </si>
  <si>
    <t xml:space="preserve"> Pierre Mendès France</t>
  </si>
  <si>
    <t>Numéro
d'ordre</t>
  </si>
  <si>
    <t>Exercice
d'origine</t>
  </si>
  <si>
    <t>Date limite
de paiement</t>
  </si>
  <si>
    <t>Somme
due</t>
  </si>
  <si>
    <r>
      <t xml:space="preserve">Références
</t>
    </r>
    <r>
      <rPr>
        <b/>
        <i/>
        <sz val="12"/>
        <color theme="1" tint="0.499984740745262"/>
        <rFont val="Arial"/>
      </rPr>
      <t>à rappeler lors du réglemen</t>
    </r>
    <r>
      <rPr>
        <b/>
        <sz val="12"/>
        <color theme="1" tint="0.499984740745262"/>
        <rFont val="Arial"/>
      </rPr>
      <t>t</t>
    </r>
  </si>
  <si>
    <t>Mail</t>
  </si>
  <si>
    <t>Total</t>
  </si>
  <si>
    <t>Mois</t>
  </si>
  <si>
    <t>NumMois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</si>
  <si>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</si>
  <si>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</si>
  <si>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</si>
  <si>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</si>
  <si>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</si>
  <si>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</si>
  <si>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</si>
  <si>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</si>
  <si>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</si>
  <si>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</si>
  <si>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</si>
  <si>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</si>
  <si>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Num Facture</t>
  </si>
  <si>
    <t>Date facture</t>
  </si>
  <si>
    <t>Date échéance</t>
  </si>
  <si>
    <t>Montant</t>
  </si>
  <si>
    <t>Date paiement</t>
  </si>
  <si>
    <t>Virement</t>
  </si>
  <si>
    <t>Espèce</t>
  </si>
  <si>
    <t>Date Arreté</t>
  </si>
  <si>
    <t>Chèque</t>
  </si>
  <si>
    <t>M. ANDRZEJEWSKI Philippe</t>
  </si>
  <si>
    <t>`</t>
  </si>
  <si>
    <t>ANDRZEJEWSKI Philippe</t>
  </si>
  <si>
    <t>ARBINET Marion</t>
  </si>
  <si>
    <t/>
  </si>
  <si>
    <t>jacques.crepin@wanadoo.fr</t>
  </si>
  <si>
    <t>BELKO Céline</t>
  </si>
  <si>
    <t>Mme BELKO Céline</t>
  </si>
  <si>
    <t>BODEL Sophie</t>
  </si>
  <si>
    <t>Mme BODEL Sophie</t>
  </si>
  <si>
    <t>BOISTEL Quentin</t>
  </si>
  <si>
    <t>M. BOISTEL Quentin</t>
  </si>
  <si>
    <t>BONNET Oriane</t>
  </si>
  <si>
    <t>Mme BONNET Oriane</t>
  </si>
  <si>
    <t>BORONAT Antoine</t>
  </si>
  <si>
    <t>M. BORONAT Antoine</t>
  </si>
  <si>
    <t>BOSAZ Elisa</t>
  </si>
  <si>
    <t>Mme BOSAZ Elisa</t>
  </si>
  <si>
    <t>BRASSEUR Julie</t>
  </si>
  <si>
    <t>Mme BRASSEUR Julie</t>
  </si>
  <si>
    <t>BULOT Gauthier</t>
  </si>
  <si>
    <t>M. BULOT Gauthier</t>
  </si>
  <si>
    <t>CABARET Kevin</t>
  </si>
  <si>
    <t>M. CABARET Kevin</t>
  </si>
  <si>
    <t>CARLIER Sophie</t>
  </si>
  <si>
    <t>Mme CARLIER Sophie</t>
  </si>
  <si>
    <t>CARON Hugo</t>
  </si>
  <si>
    <t>M. CARON Hugo</t>
  </si>
  <si>
    <t>CAUVIN Audrey</t>
  </si>
  <si>
    <t>Mme CAUVIN Audrey</t>
  </si>
  <si>
    <t>CHABRIER Lorynda</t>
  </si>
  <si>
    <t>Mme CHABRIER Lorynda</t>
  </si>
  <si>
    <t>CHAVATTES Bastien</t>
  </si>
  <si>
    <t>M. CHAVATTES Bastien</t>
  </si>
  <si>
    <t>CLABAUX</t>
  </si>
  <si>
    <t>Mme CLABAUX</t>
  </si>
  <si>
    <t>COINTE</t>
  </si>
  <si>
    <t>Mme COINTE</t>
  </si>
  <si>
    <t>COLIN</t>
  </si>
  <si>
    <t>Mme COLIN</t>
  </si>
  <si>
    <t>COLSON</t>
  </si>
  <si>
    <t>Mme COLSON</t>
  </si>
  <si>
    <t>COTTREZ Stéphane</t>
  </si>
  <si>
    <t>M. COTTREZ Stéphane</t>
  </si>
  <si>
    <t>CRAMEZ</t>
  </si>
  <si>
    <t>Mme CRAMEZ</t>
  </si>
  <si>
    <t>DAUMAS</t>
  </si>
  <si>
    <t>M. DAUMAS</t>
  </si>
  <si>
    <t>DEBOUDT Eric</t>
  </si>
  <si>
    <t>M. DEBOUDT Eric</t>
  </si>
  <si>
    <t>DEHORTER Hélène</t>
  </si>
  <si>
    <t>Mme DEHORTER Hélène</t>
  </si>
  <si>
    <t>DELANNOY Nicolas</t>
  </si>
  <si>
    <t>M. DELANNOY Nicolas</t>
  </si>
  <si>
    <t>DELÉPINE</t>
  </si>
  <si>
    <t>M. DELÉPINE</t>
  </si>
  <si>
    <t>DELÉPINE Lucas</t>
  </si>
  <si>
    <t>M. DELÉPINE Lucas</t>
  </si>
  <si>
    <t>DELFORGE</t>
  </si>
  <si>
    <t>M. DELFORGE</t>
  </si>
  <si>
    <t>DELPIERRE Andora</t>
  </si>
  <si>
    <t>Mlle DELPIERRE Andora</t>
  </si>
  <si>
    <t>DEMONT</t>
  </si>
  <si>
    <t>Mme DEMONT</t>
  </si>
  <si>
    <t>DEMONT Élodie</t>
  </si>
  <si>
    <t>Mme DEMONT Élodie</t>
  </si>
  <si>
    <t>DENIS</t>
  </si>
  <si>
    <t>M. DENIS</t>
  </si>
  <si>
    <t>DENQUIN</t>
  </si>
  <si>
    <t>Mlle DENQUIN</t>
  </si>
  <si>
    <t>DESPREZ</t>
  </si>
  <si>
    <t>Mme DESPREZ</t>
  </si>
  <si>
    <t>DEUX</t>
  </si>
  <si>
    <t>Mme DEUX</t>
  </si>
  <si>
    <t>DOREAU Audrey</t>
  </si>
  <si>
    <t>Mme DOREAU Audrey</t>
  </si>
  <si>
    <t>DOUILLY</t>
  </si>
  <si>
    <t>M. DOUILLY</t>
  </si>
  <si>
    <t>DUCATEL Karine</t>
  </si>
  <si>
    <t>Mme DUCATEL Karine</t>
  </si>
  <si>
    <t>DUMUR Sylvie</t>
  </si>
  <si>
    <t>Mme DUMUR Sylvie</t>
  </si>
  <si>
    <t>DUPONT AS Stagiaire</t>
  </si>
  <si>
    <t>Mme DUPONT AS Stagiaire</t>
  </si>
  <si>
    <t>DUQUESNOY</t>
  </si>
  <si>
    <t>M. DUQUESNOY</t>
  </si>
  <si>
    <t>DUVAL</t>
  </si>
  <si>
    <t>Mme DUVAL</t>
  </si>
  <si>
    <t>DUWATTEZ Marie-Laure</t>
  </si>
  <si>
    <t>Mme DUWATTEZ Marie-Laure</t>
  </si>
  <si>
    <t>DUWICQUET</t>
  </si>
  <si>
    <t>Mme DUWICQUET</t>
  </si>
  <si>
    <t>ELLBOODE Isabelle</t>
  </si>
  <si>
    <t>Mme ELLBOODE Isabelle</t>
  </si>
  <si>
    <t>FRANÇOIS</t>
  </si>
  <si>
    <t>Mme FRANÇOIS</t>
  </si>
  <si>
    <t>FRERE</t>
  </si>
  <si>
    <t>M. FRERE</t>
  </si>
  <si>
    <t>GARBE Manon</t>
  </si>
  <si>
    <t>Mme GARBE Manon</t>
  </si>
  <si>
    <t>GAUTIER</t>
  </si>
  <si>
    <t>Mme GAUTIER</t>
  </si>
  <si>
    <t>GELLE Karine</t>
  </si>
  <si>
    <t>Mme GELLE Karine</t>
  </si>
  <si>
    <t>GLORIAN Isabelle</t>
  </si>
  <si>
    <t>Mme GLORIAN Isabelle</t>
  </si>
  <si>
    <t>GORSCHKA Laurent</t>
  </si>
  <si>
    <t>M. GORSCHKA Laurent</t>
  </si>
  <si>
    <t>GRUSON</t>
  </si>
  <si>
    <t>Mme GRUSON</t>
  </si>
  <si>
    <t>GUILBERT</t>
  </si>
  <si>
    <t>Mme GUILBERT</t>
  </si>
  <si>
    <t>GWIZDEK Elodie</t>
  </si>
  <si>
    <t>Mme GWIZDEK Elodie</t>
  </si>
  <si>
    <t>HANQUEZ</t>
  </si>
  <si>
    <t>Mlle HANQUEZ</t>
  </si>
  <si>
    <t>HERMANT Marie</t>
  </si>
  <si>
    <t>Mme HERMANT Marie</t>
  </si>
  <si>
    <t>HERTAULT</t>
  </si>
  <si>
    <t>Mme HERTAULT</t>
  </si>
  <si>
    <t>HOYEZ Régis</t>
  </si>
  <si>
    <t>M. HOYEZ Régis</t>
  </si>
  <si>
    <t>IZARD Marjorie</t>
  </si>
  <si>
    <t>Mme IZARD Marjorie</t>
  </si>
  <si>
    <t>JAREK Alisson</t>
  </si>
  <si>
    <t>Mme JAREK Alisson</t>
  </si>
  <si>
    <t>JULLIEN</t>
  </si>
  <si>
    <t>M. JULLIEN</t>
  </si>
  <si>
    <t>JUSKIEWISKI Anna</t>
  </si>
  <si>
    <t>Mme JUSKIEWISKI Anna</t>
  </si>
  <si>
    <t>KELNERD Laurent</t>
  </si>
  <si>
    <t>M. KELNERD Laurent</t>
  </si>
  <si>
    <t>KOMORSKI Anne-Marie</t>
  </si>
  <si>
    <t>Mme KOMORSKI Anne-Marie</t>
  </si>
  <si>
    <t>KOSTRZEWSKI</t>
  </si>
  <si>
    <t>M. KOSTRZEWSKI</t>
  </si>
  <si>
    <t>KRZEKOTOWSKI Benoit</t>
  </si>
  <si>
    <t>M. KRZEKOTOWSKI Benoit</t>
  </si>
  <si>
    <t>LAIGLE Patrice</t>
  </si>
  <si>
    <t>M. LAIGLE Patrice</t>
  </si>
  <si>
    <t>LAVOISIER</t>
  </si>
  <si>
    <t>Mme LAVOISIER</t>
  </si>
  <si>
    <t>LEFEBVRE Christelle</t>
  </si>
  <si>
    <t>Mme LEFEBVRE Christelle</t>
  </si>
  <si>
    <t>LEFEBVRE Christophe</t>
  </si>
  <si>
    <t>M. LEFEBVRE Christophe</t>
  </si>
  <si>
    <t>LEFEBVRE Isabelle</t>
  </si>
  <si>
    <t>Mme LEFEBVRE Isabelle</t>
  </si>
  <si>
    <t>LEFEBVRE Virginie</t>
  </si>
  <si>
    <t>Mme LEFEBVRE Virginie</t>
  </si>
  <si>
    <t>LEGRAND Nathalie</t>
  </si>
  <si>
    <t>Mme LEGRAND Nathalie</t>
  </si>
  <si>
    <t>LEJOSNE</t>
  </si>
  <si>
    <t>Mme LEJOSNE</t>
  </si>
  <si>
    <t>LEMAITRE Thierry</t>
  </si>
  <si>
    <t>M. LEMAITRE Thierry</t>
  </si>
  <si>
    <t>LEMPASZAK</t>
  </si>
  <si>
    <t>Mme LEMPASZAK</t>
  </si>
  <si>
    <t>LEROY Sabrina</t>
  </si>
  <si>
    <t>Mme LEROY Sabrina</t>
  </si>
  <si>
    <t>LEVRAY Amélie</t>
  </si>
  <si>
    <t>Mme LEVRAY Amélie</t>
  </si>
  <si>
    <t>LHERMITTE Graziella</t>
  </si>
  <si>
    <t>Mme LHERMITTE Graziella</t>
  </si>
  <si>
    <t>LIMES</t>
  </si>
  <si>
    <t>M. LIMES</t>
  </si>
  <si>
    <t>LOMBART</t>
  </si>
  <si>
    <t>Mme LOMBART</t>
  </si>
  <si>
    <t>MAJCHRZAK Isabelle</t>
  </si>
  <si>
    <t>Mme MAJCHRZAK Isabelle</t>
  </si>
  <si>
    <t>MARTIN Oriane</t>
  </si>
  <si>
    <t>Mme MARTIN Oriane</t>
  </si>
  <si>
    <t>MASSART Julien</t>
  </si>
  <si>
    <t>M. MASSART Julien</t>
  </si>
  <si>
    <t>MASSINON</t>
  </si>
  <si>
    <t>Mme MASSINON</t>
  </si>
  <si>
    <t>MAYEUR</t>
  </si>
  <si>
    <t>Mme MAYEUR</t>
  </si>
  <si>
    <t>MENU Gaelle</t>
  </si>
  <si>
    <t>Mme MENU Gaelle</t>
  </si>
  <si>
    <t xml:space="preserve">MEURILLON </t>
  </si>
  <si>
    <t xml:space="preserve">M. MEURILLON </t>
  </si>
  <si>
    <t>MOINET Olivier</t>
  </si>
  <si>
    <t>M. MOINET Olivier</t>
  </si>
  <si>
    <t>MORDACQ Paulo</t>
  </si>
  <si>
    <t>M. MORDACQ Paulo</t>
  </si>
  <si>
    <t>NATHIEZ</t>
  </si>
  <si>
    <t>Mme NATHIEZ</t>
  </si>
  <si>
    <t>NEUVILLE Viincent</t>
  </si>
  <si>
    <t>M. NEUVILLE Viincent</t>
  </si>
  <si>
    <t>NODOT Virginie</t>
  </si>
  <si>
    <t>Mme NODOT Virginie</t>
  </si>
  <si>
    <t>NOEL</t>
  </si>
  <si>
    <t>Mme NOEL</t>
  </si>
  <si>
    <t>NOURTIER</t>
  </si>
  <si>
    <t>Mme NOURTIER</t>
  </si>
  <si>
    <t>OFFE Fanny</t>
  </si>
  <si>
    <t>Mme OFFE Fanny</t>
  </si>
  <si>
    <t>PAUL Jérôme</t>
  </si>
  <si>
    <t>M. PAUL Jérôme</t>
  </si>
  <si>
    <t>PECQUEUR Nicolas</t>
  </si>
  <si>
    <t>M. PECQUEUR Nicolas</t>
  </si>
  <si>
    <t>PETIT</t>
  </si>
  <si>
    <t>M. PETIT</t>
  </si>
  <si>
    <t>PICART Bastien</t>
  </si>
  <si>
    <t>M. PICART Bastien</t>
  </si>
  <si>
    <t>PINABIAUX Maurice</t>
  </si>
  <si>
    <t>M. PINABIAUX Maurice</t>
  </si>
  <si>
    <t>PLOYON Claudie</t>
  </si>
  <si>
    <t>Mme PLOYON Claudie</t>
  </si>
  <si>
    <t>POLLET Alison</t>
  </si>
  <si>
    <t>Mme POLLET Alison</t>
  </si>
  <si>
    <t xml:space="preserve">POMART Isabelle </t>
  </si>
  <si>
    <t xml:space="preserve">Mme POMART Isabelle </t>
  </si>
  <si>
    <t>PROTOKOWICK Coralie</t>
  </si>
  <si>
    <t>Mme PROTOKOWICK Coralie</t>
  </si>
  <si>
    <t>RENOIR Laura</t>
  </si>
  <si>
    <t>Mme RENOIR Laura</t>
  </si>
  <si>
    <t>ROBILLARD</t>
  </si>
  <si>
    <t>Mme ROBILLARD</t>
  </si>
  <si>
    <t>ROGÉ</t>
  </si>
  <si>
    <t>Mme ROGÉ</t>
  </si>
  <si>
    <t>ROLLIN MARIE FRANCOISE</t>
  </si>
  <si>
    <t>Mme ROLLIN MARIE FRANCOISE</t>
  </si>
  <si>
    <t>SAINT-MICHEL OLIVIER</t>
  </si>
  <si>
    <t>M. SAINT-MICHEL OLIVIER</t>
  </si>
  <si>
    <t>SCHEPENS Mait</t>
  </si>
  <si>
    <t>Mme SCHEPENS Mait</t>
  </si>
  <si>
    <t>SULIGERE</t>
  </si>
  <si>
    <t>Mme SULIGERE</t>
  </si>
  <si>
    <t>SZAJNIK Katia</t>
  </si>
  <si>
    <t>Mme SZAJNIK Katia</t>
  </si>
  <si>
    <t>TANCRE Sophie</t>
  </si>
  <si>
    <t>Mme TANCRE Sophie</t>
  </si>
  <si>
    <t>TAQUIN</t>
  </si>
  <si>
    <t>M. TAQUIN</t>
  </si>
  <si>
    <t>UTZ Vicky</t>
  </si>
  <si>
    <t>Mme UTZ Vicky</t>
  </si>
  <si>
    <t>VAN DEPUTTE Maxime</t>
  </si>
  <si>
    <t>M. VAN DEPUTTE Maxime</t>
  </si>
  <si>
    <t>VANDENKOORNHUYSE</t>
  </si>
  <si>
    <t>Mme VANDENKOORNHUYSE</t>
  </si>
  <si>
    <t>VARLET Audrey</t>
  </si>
  <si>
    <t>Mme VARLET Audrey</t>
  </si>
  <si>
    <t>VAUCOULEUR</t>
  </si>
  <si>
    <t>Mme VAUCOULEUR</t>
  </si>
  <si>
    <t>VERHOFSTADT Virginie</t>
  </si>
  <si>
    <t>Mme VERHOFSTADT Virginie</t>
  </si>
  <si>
    <t>VORK Noémie</t>
  </si>
  <si>
    <t>Mme VORK Noémie</t>
  </si>
  <si>
    <t>WACQUEZ Anne Sophie</t>
  </si>
  <si>
    <t>Mme WACQUEZ Anne Sophie</t>
  </si>
  <si>
    <t>WAWRZYNIAK</t>
  </si>
  <si>
    <t>Mme WAWRZYNIAK</t>
  </si>
  <si>
    <t>WINIEWSKI</t>
  </si>
  <si>
    <t>Mme WINIEWSKI</t>
  </si>
  <si>
    <t>WLEKLY Céline</t>
  </si>
  <si>
    <t>Mme WLEKLY Céline</t>
  </si>
  <si>
    <t>WOJTASIK</t>
  </si>
  <si>
    <t>Mlle WOJTASIK</t>
  </si>
  <si>
    <t>WOJTASINSKI</t>
  </si>
  <si>
    <t>M. WOJTASINSKI</t>
  </si>
  <si>
    <t>Garniture et viandes</t>
  </si>
  <si>
    <t>Hors d'œuvre</t>
  </si>
  <si>
    <t>Petits fours (lot de 10)</t>
  </si>
  <si>
    <t>Plat complet</t>
  </si>
  <si>
    <t>Potage</t>
  </si>
  <si>
    <t>Salade de fruit</t>
  </si>
  <si>
    <t>Salade de fruit (petite)</t>
  </si>
  <si>
    <t>Sandwich, burger…</t>
  </si>
  <si>
    <t>Lasagnes endives gratinées…</t>
  </si>
  <si>
    <t>Tartelettes sucrées ou salées (lot de 2)</t>
  </si>
  <si>
    <t>Tartes salées ou sucrées (grande)</t>
  </si>
  <si>
    <t>Tartelettes sucrées ou salées, crêpes (à l'unité)</t>
  </si>
  <si>
    <t>Dessert simple (mousse…)</t>
  </si>
  <si>
    <t>Tartes salées ou sucrées (petite)</t>
  </si>
  <si>
    <t>Part de gâteau, de tarte…</t>
  </si>
  <si>
    <t>Viande cuisinée</t>
  </si>
  <si>
    <t>Crêpes garnies (lot de 2)</t>
  </si>
  <si>
    <t>Crudités (petite)</t>
  </si>
  <si>
    <t>Crudités (grande)</t>
  </si>
  <si>
    <t>Dessert (petite part)</t>
  </si>
  <si>
    <t>Garniture de légumes (petite part)</t>
  </si>
  <si>
    <t>Mot de passe -&gt;</t>
  </si>
  <si>
    <t>4567</t>
  </si>
  <si>
    <t>SuiviFeuille</t>
  </si>
  <si>
    <t>ClientsFeuille</t>
  </si>
  <si>
    <t>ObjetsFeuille</t>
  </si>
  <si>
    <t>VentesFeuille</t>
  </si>
  <si>
    <t>FactureFeuille</t>
  </si>
  <si>
    <t>BoutonsFeuille</t>
  </si>
  <si>
    <t>SignatureFeuille</t>
  </si>
  <si>
    <t>AccueilFeuille</t>
  </si>
  <si>
    <t>DroitsFeuille</t>
  </si>
  <si>
    <t>Logo Lycée</t>
  </si>
  <si>
    <t xml:space="preserve"> ne devrait pas être présent dans le dossier </t>
  </si>
  <si>
    <t xml:space="preserve"> ne doit pas être ouvert. Ouvrez le classeur </t>
  </si>
  <si>
    <t xml:space="preserve"> dans le même dossier !</t>
  </si>
  <si>
    <t xml:space="preserve"> ne doit pas être ouvert. Il devrait y avoir un classeur </t>
  </si>
  <si>
    <t>Maj des ventes à faire !</t>
  </si>
  <si>
    <t>Maj faite !</t>
  </si>
  <si>
    <t>Maj déjà faite !</t>
  </si>
  <si>
    <t>La liste des factures doit être mise à jour !</t>
  </si>
  <si>
    <t>Liste des factures mise à jour !</t>
  </si>
  <si>
    <t>Liste des factures déjà mise à jour !</t>
  </si>
  <si>
    <t>, vous devriez le supprimer. Pour l'instant il va être refermé !</t>
  </si>
  <si>
    <t xml:space="preserve">Aucun mois avec des factures à éditer ! </t>
  </si>
  <si>
    <t xml:space="preserve"> a bien été éditée !</t>
  </si>
  <si>
    <t>Toutes les factures du mois ont été imprimées.</t>
  </si>
  <si>
    <t>Tous les Pdfs factures créés.</t>
  </si>
  <si>
    <t xml:space="preserve">Aucune facture à ré-éditer ! </t>
  </si>
  <si>
    <t>La facture ne peut pas être envoyée au client par mail, son adresse n'est pas renseignée !</t>
  </si>
  <si>
    <t>Facture envoyée au client par mail.</t>
  </si>
  <si>
    <t>Facture imprimée.</t>
  </si>
  <si>
    <t>Pdf facture réédité.</t>
  </si>
  <si>
    <t>Le nom n'est pas défini !</t>
  </si>
  <si>
    <t>Ce client existe déja !</t>
  </si>
  <si>
    <t>Adresse Mail non valide !</t>
  </si>
  <si>
    <t>Le nouveau client a bien été enregistré !</t>
  </si>
  <si>
    <t xml:space="preserve">La date doit être en </t>
  </si>
  <si>
    <t>Pas de cient sélectionné !</t>
  </si>
  <si>
    <t>Pas de plat sélectionné !</t>
  </si>
  <si>
    <t>La vente a bien été enregistrée !</t>
  </si>
  <si>
    <t>Erreur dans le format de date !</t>
  </si>
  <si>
    <t>Erreur dans le format de la quantité !</t>
  </si>
  <si>
    <t xml:space="preserve">Aucun Changement ! </t>
  </si>
  <si>
    <t>Il n'y a pas de ventes à modifier</t>
  </si>
  <si>
    <t>Modifier vraiment  ?</t>
  </si>
  <si>
    <t>Demande de Confirmation</t>
  </si>
  <si>
    <t>La vente a bien été modifiée !</t>
  </si>
  <si>
    <t>Supprimer vraiment  ?</t>
  </si>
  <si>
    <t>Le client a bien été supprimé !</t>
  </si>
  <si>
    <t>Il n'y a pas de ventes à supprimer !</t>
  </si>
  <si>
    <t>Il n'y a plus de ventes à supprimer !</t>
  </si>
  <si>
    <t>La vente a bien été supprimée !</t>
  </si>
  <si>
    <t>Il n'y a pas de mois avec des ventes à valider !</t>
  </si>
  <si>
    <t>Le mois pour lequel vous voulez valider les ventes n'est pas encore terminé !</t>
  </si>
  <si>
    <t xml:space="preserve">Si vous confirmez la validation, pour ce mois vous ne pourrez plus ajouter, modifier ou supprimer des ventes ! </t>
  </si>
  <si>
    <t>Voulez vous continuer ?</t>
  </si>
  <si>
    <t>Pour "</t>
  </si>
  <si>
    <t>" les ventes ont bien été validées !</t>
  </si>
  <si>
    <t xml:space="preserve">Les données relatives au client ont bien été modifiées ! </t>
  </si>
  <si>
    <t>La désignation n'est pas définie !</t>
  </si>
  <si>
    <t>Le prix n'est pas défini !</t>
  </si>
  <si>
    <t>Potage3</t>
  </si>
  <si>
    <t>Potage2</t>
  </si>
  <si>
    <t>Potage4</t>
  </si>
  <si>
    <t>Cet article existe déjà !</t>
  </si>
  <si>
    <t>L'article a bien été modifié !</t>
  </si>
  <si>
    <t>Aucun changement !</t>
  </si>
  <si>
    <t>L'article a bien été enregistré !</t>
  </si>
  <si>
    <t>Numéro</t>
  </si>
  <si>
    <t>Message</t>
  </si>
  <si>
    <t>Messages WorkbookOpen</t>
  </si>
  <si>
    <t>Messages Formulaire Edit Factures</t>
  </si>
  <si>
    <t>Messages Formulaire Ré-édition Facture</t>
  </si>
  <si>
    <t>Messages Formulaire Ajout Clients</t>
  </si>
  <si>
    <t>Messages Formulaire Ajout Ventes</t>
  </si>
  <si>
    <t>Messages Formulaire Modif Clients</t>
  </si>
  <si>
    <t>Messages Formulaire Modif Ventes</t>
  </si>
  <si>
    <t>Messages Formulaire Sup Clients</t>
  </si>
  <si>
    <t>Messages Formulaire Sup Ventes</t>
  </si>
  <si>
    <t>Messages Formulaire Validation Ventes</t>
  </si>
  <si>
    <t>Messages Formulaire Ajout Objets</t>
  </si>
  <si>
    <t>Item</t>
  </si>
  <si>
    <t>Items Formulaire Choix Fonction</t>
  </si>
  <si>
    <t>Shape</t>
  </si>
  <si>
    <t>Messages Formulaire Sup Objets</t>
  </si>
  <si>
    <t>€</t>
  </si>
  <si>
    <t>Shapes Procédure Deconnecter</t>
  </si>
  <si>
    <t xml:space="preserve">Il n'y a pas de classeur Ventes.xlsm dans le dossier, voulez-vous continuer sans mettre à jour le classeur </t>
  </si>
  <si>
    <t>Il n'y a pas de classeur Factures.xlsm dans le dossier, voulez-vous continuer sans mettre à jour le classeur</t>
  </si>
  <si>
    <t>Messages Formulaire Modif Objets</t>
  </si>
  <si>
    <t>L'article a bien été supprimé !</t>
  </si>
  <si>
    <t>Aucun  article à modifier pour l'instant !</t>
  </si>
  <si>
    <t>Aucun client pour l'instant !</t>
  </si>
  <si>
    <t>BLONDEL Blandine</t>
  </si>
  <si>
    <t>Mme BLONDEL Blandine</t>
  </si>
  <si>
    <t>Des clients avec des ventes en cours ne sont pas proposés pour éventuelle modification car ils ne peuvent pas être modifiés !</t>
  </si>
  <si>
    <t>Des clients avec des ventes en cours ne sont pas proposés pour éventuelle suppression car ils ne peuvent pas être supprimés !</t>
  </si>
  <si>
    <t>Aucun client à supprimer pour l'instant !</t>
  </si>
  <si>
    <t>Plus aucun client à supprimer !</t>
  </si>
  <si>
    <t>Aucun article à supprimer pour l'instant !</t>
  </si>
  <si>
    <t>Plus aucun article à supprimer !</t>
  </si>
  <si>
    <t>Messages Formulaire Modil Mail</t>
  </si>
  <si>
    <t>Aucun Client pour l'istant !</t>
  </si>
  <si>
    <t>Aucun article pour l'instant !</t>
  </si>
  <si>
    <t xml:space="preserve">Des ventes déjà validées ne sont pas proposées pour une éventuelle modification car elles ne peuvent plus être modifiées ! </t>
  </si>
  <si>
    <t xml:space="preserve">Des ventes déjà validées ne sont pas proposées pour une éventuelle suppression  car elles ne peuvent plus être supprimées ! </t>
  </si>
  <si>
    <t>Pour le nouveau mois choisi, les ventes ont déjà été validées. Vous ne pouvez pas choisir ce mois !</t>
  </si>
  <si>
    <t>Pour le mois de cette nouvelle vente, les ventes ont déjà été validées. Cette nouvelle vente ne peut pas être ajoutée !</t>
  </si>
  <si>
    <t>Toutes les Factures ont été envoyées par mail.</t>
  </si>
  <si>
    <t>Une ou plusieurs adresses Mail ne sont pas renseignées. Les PDF des factures ont été déposées dans le dossier ""Factures LPMF Mail"" !</t>
  </si>
  <si>
    <t xml:space="preserve">Vente N° </t>
  </si>
  <si>
    <t>Ré-éditer une facture</t>
  </si>
  <si>
    <t xml:space="preserve">L'adresse Mail du client a bien été actualisée ! </t>
  </si>
  <si>
    <t>Mise à jour Identité des clients</t>
  </si>
  <si>
    <t>Messages Formulaire Suivi Paiements</t>
  </si>
  <si>
    <t>Espèces</t>
  </si>
  <si>
    <t>Aucun paiement à enregister !</t>
  </si>
  <si>
    <t>Plus aucun paiement à enregistrer !</t>
  </si>
  <si>
    <t>Messages Formulaire Modif Paiements</t>
  </si>
  <si>
    <t>Messages Formulaire Sup Paiements</t>
  </si>
  <si>
    <t>Aucun paiement à modifier !</t>
  </si>
  <si>
    <t>Le paiement a bien été modifié !</t>
  </si>
  <si>
    <t>Le paiement a bien été enregistré !</t>
  </si>
  <si>
    <t>Aucun paiement à supprimer !</t>
  </si>
  <si>
    <t>Plus aucun paiement à supprimer !</t>
  </si>
  <si>
    <t>Le paiement a bien été supprimé !</t>
  </si>
  <si>
    <t>Gérer les factures</t>
  </si>
  <si>
    <t>Gérer les paiements</t>
  </si>
  <si>
    <t>Administrer l'application</t>
  </si>
  <si>
    <t>Il manque un fichier de configuration dans le dossier. Le classeur ne peut pas être ouvert !</t>
  </si>
  <si>
    <t>La date de vente doit être inférieure ou égale à la date d'aujourd'hui !</t>
  </si>
  <si>
    <t xml:space="preserve">La date de vante  doit être en </t>
  </si>
  <si>
    <t>Gestion de la vente et de la facturation de plats préparés et de repas</t>
  </si>
  <si>
    <t>Année d'exercice :</t>
  </si>
  <si>
    <t>Fonction en cours :</t>
  </si>
  <si>
    <t>Aucune: Cliquez sur "Choisir une fonction"</t>
  </si>
  <si>
    <t>Aucune fonction</t>
  </si>
  <si>
    <t>22OC01-01</t>
  </si>
  <si>
    <t>22OC01-02</t>
  </si>
  <si>
    <t>22OC01-03</t>
  </si>
  <si>
    <t>x</t>
  </si>
  <si>
    <t>11/01/2022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</si>
</sst>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7" formatCode="#,##0.00\ &quot;€&quot;;\-#,##0.00\ &quot;€&quot;"/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[$-40C]d\ mmmm\ yyyy;@"/>
    <numFmt numFmtId="167" formatCode="#,##0.00\ &quot;€&quot;"/>
    <numFmt numFmtId="168" formatCode="[$-40C]d\-mmm\-yy;@"/>
    <numFmt numFmtId="169" formatCode="#,##0.00\ [$€-40C];[Red]\-#,##0.00\ [$€-40C]"/>
    <numFmt numFmtId="170" formatCode="dddd\ d"/>
    <numFmt numFmtId="171" formatCode="[$-40C]d\-mmm;@"/>
    <numFmt numFmtId="172" formatCode="_-* #,##0.00\ [$€-1]_-;\-* #,##0.00\ [$€-1]_-;_-* &quot;-&quot;??\ [$€-1]_-;_-@_-"/>
    <numFmt numFmtId="173" formatCode="m/d/yy"/>
  </numFmts>
  <fonts count="6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9" tint="0.3999755851924192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 tint="0.39997558519241921"/>
      <name val="Calibri"/>
      <scheme val="minor"/>
    </font>
    <font>
      <u/>
      <sz val="12"/>
      <color rgb="FF385898"/>
      <name val="Inherit"/>
    </font>
    <font>
      <sz val="8"/>
      <name val="Calibri"/>
      <family val="2"/>
      <scheme val="minor"/>
    </font>
    <font>
      <sz val="18"/>
      <color rgb="FF538DD5"/>
      <name val="Calibri"/>
      <scheme val="minor"/>
    </font>
    <font>
      <sz val="12"/>
      <color theme="3" tint="0.59999389629810485"/>
      <name val="Calibri"/>
      <scheme val="minor"/>
    </font>
    <font>
      <b/>
      <sz val="18"/>
      <color theme="3" tint="0.39997558519241921"/>
      <name val="Calibri"/>
      <scheme val="minor"/>
    </font>
    <font>
      <b/>
      <i/>
      <sz val="16"/>
      <color theme="9" tint="-0.499984740745262"/>
      <name val="Calibri"/>
      <scheme val="minor"/>
    </font>
    <font>
      <sz val="16"/>
      <color theme="9" tint="-0.499984740745262"/>
      <name val="Calibri"/>
      <scheme val="minor"/>
    </font>
    <font>
      <sz val="16"/>
      <color theme="1"/>
      <name val="Calibri"/>
      <scheme val="minor"/>
    </font>
    <font>
      <sz val="16"/>
      <color theme="9" tint="-0.249977111117893"/>
      <name val="Calibri"/>
      <scheme val="minor"/>
    </font>
    <font>
      <sz val="10"/>
      <name val="Arial"/>
      <family val="2"/>
    </font>
    <font>
      <b/>
      <sz val="22"/>
      <color indexed="56"/>
      <name val="Arial"/>
      <family val="2"/>
    </font>
    <font>
      <b/>
      <sz val="12"/>
      <name val="Arial"/>
      <family val="2"/>
      <charset val="1"/>
    </font>
    <font>
      <b/>
      <sz val="20"/>
      <color indexed="56"/>
      <name val="Arial"/>
      <family val="2"/>
    </font>
    <font>
      <sz val="20"/>
      <color indexed="56"/>
      <name val="Arial"/>
      <family val="2"/>
    </font>
    <font>
      <b/>
      <sz val="22"/>
      <name val="Arial"/>
      <family val="2"/>
    </font>
    <font>
      <i/>
      <sz val="10"/>
      <name val="Arial"/>
      <family val="2"/>
      <charset val="1"/>
    </font>
    <font>
      <b/>
      <sz val="22"/>
      <color rgb="FFFF0000"/>
      <name val="Arial"/>
    </font>
    <font>
      <b/>
      <i/>
      <sz val="10"/>
      <name val="Arial"/>
      <family val="2"/>
    </font>
    <font>
      <b/>
      <i/>
      <sz val="12"/>
      <name val="Arial"/>
      <family val="2"/>
    </font>
    <font>
      <sz val="20"/>
      <name val="Arial"/>
      <family val="2"/>
      <charset val="1"/>
    </font>
    <font>
      <i/>
      <sz val="12"/>
      <name val="Arial"/>
      <family val="2"/>
    </font>
    <font>
      <sz val="8"/>
      <name val="Arial"/>
      <family val="2"/>
      <charset val="1"/>
    </font>
    <font>
      <b/>
      <sz val="26"/>
      <name val="Arial"/>
      <family val="2"/>
      <charset val="1"/>
    </font>
    <font>
      <b/>
      <i/>
      <sz val="24"/>
      <name val="Arial"/>
      <family val="2"/>
      <charset val="1"/>
    </font>
    <font>
      <b/>
      <sz val="14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  <charset val="1"/>
    </font>
    <font>
      <sz val="12"/>
      <name val="Arial"/>
      <family val="2"/>
      <charset val="1"/>
    </font>
    <font>
      <sz val="9"/>
      <color indexed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b/>
      <sz val="11"/>
      <name val="Arial"/>
      <family val="2"/>
    </font>
    <font>
      <sz val="11"/>
      <name val="Arial"/>
      <family val="2"/>
    </font>
    <font>
      <sz val="9"/>
      <name val="Arial"/>
      <family val="2"/>
      <charset val="1"/>
    </font>
    <font>
      <i/>
      <sz val="14"/>
      <name val="Arial"/>
      <family val="2"/>
    </font>
    <font>
      <b/>
      <sz val="20"/>
      <color theme="3" tint="-0.249977111117893"/>
      <name val="Arial"/>
    </font>
    <font>
      <sz val="20"/>
      <color theme="3" tint="-0.249977111117893"/>
      <name val="Arial"/>
    </font>
    <font>
      <b/>
      <i/>
      <sz val="12"/>
      <color theme="1" tint="0.499984740745262"/>
      <name val="Arial"/>
    </font>
    <font>
      <b/>
      <sz val="12"/>
      <color theme="1" tint="0.499984740745262"/>
      <name val="Arial"/>
    </font>
    <font>
      <b/>
      <sz val="14"/>
      <color theme="1"/>
      <name val="Calibri"/>
      <scheme val="minor"/>
    </font>
    <font>
      <sz val="12"/>
      <name val="Calibri"/>
      <scheme val="minor"/>
    </font>
    <font>
      <b/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name val="Calibri"/>
      <scheme val="minor"/>
    </font>
    <font>
      <i/>
      <sz val="11"/>
      <name val="Calibri"/>
      <scheme val="minor"/>
    </font>
    <font>
      <sz val="11"/>
      <name val="Calibri"/>
      <scheme val="minor"/>
    </font>
    <font>
      <sz val="12"/>
      <color theme="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</borders>
  <cellStyleXfs count="1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Fill="1"/>
    <xf numFmtId="0" fontId="3" fillId="2" borderId="0" xfId="0" applyFont="1" applyFill="1"/>
    <xf numFmtId="0" fontId="0" fillId="0" borderId="0" xfId="0" quotePrefix="1"/>
    <xf numFmtId="0" fontId="0" fillId="4" borderId="0" xfId="0" applyFill="1"/>
    <xf numFmtId="0" fontId="7" fillId="0" borderId="0" xfId="9" applyFont="1"/>
    <xf numFmtId="0" fontId="0" fillId="0" borderId="0" xfId="0" applyAlignment="1"/>
    <xf numFmtId="0" fontId="9" fillId="0" borderId="0" xfId="0" applyFont="1"/>
    <xf numFmtId="0" fontId="4" fillId="0" borderId="0" xfId="10"/>
    <xf numFmtId="0" fontId="7" fillId="0" borderId="0" xfId="0" applyFont="1"/>
    <xf numFmtId="0" fontId="0" fillId="5" borderId="0" xfId="0" applyFill="1"/>
    <xf numFmtId="0" fontId="0" fillId="0" borderId="0" xfId="0" applyFill="1" applyBorder="1"/>
    <xf numFmtId="0" fontId="6" fillId="0" borderId="0" xfId="0" applyFont="1"/>
    <xf numFmtId="166" fontId="6" fillId="0" borderId="0" xfId="0" applyNumberFormat="1" applyFont="1" applyAlignment="1">
      <alignment horizontal="right"/>
    </xf>
    <xf numFmtId="0" fontId="7" fillId="0" borderId="0" xfId="0" applyNumberFormat="1" applyFont="1" applyAlignment="1">
      <alignment horizontal="right"/>
    </xf>
    <xf numFmtId="0" fontId="12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7" fillId="0" borderId="0" xfId="0" applyFont="1" applyFill="1" applyBorder="1" applyAlignment="1"/>
    <xf numFmtId="0" fontId="14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Fill="1" applyAlignment="1">
      <alignment vertical="center"/>
    </xf>
    <xf numFmtId="167" fontId="7" fillId="0" borderId="0" xfId="0" applyNumberFormat="1" applyFont="1"/>
    <xf numFmtId="167" fontId="6" fillId="0" borderId="0" xfId="0" applyNumberFormat="1" applyFont="1"/>
    <xf numFmtId="167" fontId="7" fillId="0" borderId="0" xfId="9" applyNumberFormat="1" applyFont="1"/>
    <xf numFmtId="167" fontId="0" fillId="0" borderId="0" xfId="0" applyNumberFormat="1"/>
    <xf numFmtId="168" fontId="0" fillId="0" borderId="0" xfId="0" applyNumberFormat="1"/>
    <xf numFmtId="0" fontId="18" fillId="0" borderId="4" xfId="22" applyFont="1" applyBorder="1" applyAlignment="1" applyProtection="1">
      <alignment vertical="center"/>
      <protection locked="0"/>
    </xf>
    <xf numFmtId="0" fontId="26" fillId="0" borderId="4" xfId="22" applyFont="1" applyBorder="1" applyAlignment="1">
      <alignment horizontal="right" vertical="center" indent="3"/>
    </xf>
    <xf numFmtId="0" fontId="18" fillId="0" borderId="0" xfId="22" applyFont="1" applyAlignment="1" applyProtection="1">
      <alignment vertical="center"/>
      <protection locked="0"/>
    </xf>
    <xf numFmtId="0" fontId="29" fillId="0" borderId="0" xfId="22" applyFont="1" applyAlignment="1">
      <alignment horizontal="center" vertical="center"/>
    </xf>
    <xf numFmtId="0" fontId="24" fillId="0" borderId="0" xfId="22" applyFont="1" applyAlignment="1">
      <alignment horizontal="left" vertical="center" indent="3"/>
    </xf>
    <xf numFmtId="0" fontId="29" fillId="0" borderId="0" xfId="22" applyFont="1" applyAlignment="1" applyProtection="1">
      <alignment horizontal="left" vertical="center"/>
      <protection locked="0"/>
    </xf>
    <xf numFmtId="0" fontId="24" fillId="0" borderId="0" xfId="22" applyFont="1" applyAlignment="1">
      <alignment horizontal="center" vertical="center"/>
    </xf>
    <xf numFmtId="0" fontId="35" fillId="0" borderId="0" xfId="22" applyFont="1" applyAlignment="1">
      <alignment horizontal="center" vertical="center"/>
    </xf>
    <xf numFmtId="0" fontId="36" fillId="0" borderId="0" xfId="22" applyFont="1" applyAlignment="1" applyProtection="1">
      <alignment vertical="center"/>
      <protection locked="0"/>
    </xf>
    <xf numFmtId="0" fontId="36" fillId="0" borderId="5" xfId="22" applyFont="1" applyBorder="1" applyAlignment="1" applyProtection="1">
      <alignment horizontal="center" vertical="center"/>
      <protection locked="0"/>
    </xf>
    <xf numFmtId="14" fontId="36" fillId="0" borderId="5" xfId="22" applyNumberFormat="1" applyFont="1" applyBorder="1" applyAlignment="1" applyProtection="1">
      <alignment horizontal="center" vertical="center"/>
      <protection locked="0"/>
    </xf>
    <xf numFmtId="0" fontId="36" fillId="0" borderId="0" xfId="22" applyFont="1" applyAlignment="1">
      <alignment horizontal="left" vertical="center" indent="1"/>
    </xf>
    <xf numFmtId="0" fontId="38" fillId="0" borderId="0" xfId="22" applyFont="1" applyAlignment="1">
      <alignment horizontal="right" vertical="center" indent="1"/>
    </xf>
    <xf numFmtId="0" fontId="18" fillId="0" borderId="0" xfId="22" applyFont="1" applyAlignment="1">
      <alignment horizontal="left" vertical="center"/>
    </xf>
    <xf numFmtId="0" fontId="30" fillId="0" borderId="0" xfId="22" applyFont="1" applyAlignment="1" applyProtection="1">
      <alignment horizontal="right" vertical="center"/>
      <protection locked="0"/>
    </xf>
    <xf numFmtId="0" fontId="18" fillId="0" borderId="0" xfId="22" applyFont="1" applyAlignment="1">
      <alignment horizontal="left" vertical="center" indent="1"/>
    </xf>
    <xf numFmtId="0" fontId="20" fillId="0" borderId="0" xfId="22" applyFont="1" applyAlignment="1" applyProtection="1">
      <alignment vertical="center"/>
      <protection locked="0"/>
    </xf>
    <xf numFmtId="0" fontId="33" fillId="0" borderId="0" xfId="22" applyFont="1" applyAlignment="1" applyProtection="1">
      <alignment horizontal="right" vertical="center"/>
      <protection locked="0"/>
    </xf>
    <xf numFmtId="0" fontId="39" fillId="0" borderId="0" xfId="22" applyFont="1" applyAlignment="1" applyProtection="1">
      <alignment horizontal="center" vertical="center"/>
      <protection locked="0"/>
    </xf>
    <xf numFmtId="0" fontId="18" fillId="0" borderId="0" xfId="22" applyFont="1" applyAlignment="1" applyProtection="1">
      <alignment horizontal="left" vertical="center"/>
      <protection locked="0"/>
    </xf>
    <xf numFmtId="165" fontId="20" fillId="0" borderId="0" xfId="23" applyFont="1" applyAlignment="1">
      <alignment horizontal="center" vertical="center"/>
    </xf>
    <xf numFmtId="165" fontId="20" fillId="0" borderId="0" xfId="23" applyFont="1" applyAlignment="1">
      <alignment vertical="center"/>
    </xf>
    <xf numFmtId="0" fontId="20" fillId="0" borderId="0" xfId="22" applyFont="1" applyAlignment="1">
      <alignment vertical="center"/>
    </xf>
    <xf numFmtId="0" fontId="20" fillId="0" borderId="0" xfId="22" applyFont="1" applyAlignment="1" applyProtection="1">
      <alignment horizontal="center" vertical="center"/>
      <protection locked="0"/>
    </xf>
    <xf numFmtId="0" fontId="18" fillId="0" borderId="7" xfId="22" applyFont="1" applyBorder="1" applyAlignment="1" applyProtection="1">
      <alignment vertical="center"/>
      <protection locked="0"/>
    </xf>
    <xf numFmtId="0" fontId="33" fillId="0" borderId="7" xfId="22" applyFont="1" applyBorder="1" applyAlignment="1">
      <alignment horizontal="left" vertical="center"/>
    </xf>
    <xf numFmtId="0" fontId="33" fillId="0" borderId="0" xfId="22" applyFont="1" applyAlignment="1">
      <alignment horizontal="left" vertical="center"/>
    </xf>
    <xf numFmtId="0" fontId="33" fillId="0" borderId="6" xfId="22" applyFont="1" applyBorder="1" applyAlignment="1">
      <alignment horizontal="left" vertical="center"/>
    </xf>
    <xf numFmtId="0" fontId="36" fillId="0" borderId="7" xfId="22" applyFont="1" applyBorder="1" applyAlignment="1" applyProtection="1">
      <alignment horizontal="left" vertical="center"/>
      <protection locked="0"/>
    </xf>
    <xf numFmtId="0" fontId="36" fillId="0" borderId="0" xfId="22" applyFont="1" applyAlignment="1" applyProtection="1">
      <alignment horizontal="left" vertical="center"/>
      <protection locked="0"/>
    </xf>
    <xf numFmtId="0" fontId="36" fillId="0" borderId="6" xfId="22" applyFont="1" applyBorder="1" applyAlignment="1" applyProtection="1">
      <alignment horizontal="left" vertical="center"/>
      <protection locked="0"/>
    </xf>
    <xf numFmtId="0" fontId="36" fillId="0" borderId="7" xfId="22" applyFont="1" applyBorder="1" applyAlignment="1" applyProtection="1">
      <alignment horizontal="left" vertical="center" indent="2"/>
      <protection locked="0"/>
    </xf>
    <xf numFmtId="0" fontId="36" fillId="0" borderId="7" xfId="22" applyFont="1" applyBorder="1" applyAlignment="1">
      <alignment horizontal="left" vertical="center" indent="2"/>
    </xf>
    <xf numFmtId="0" fontId="36" fillId="0" borderId="0" xfId="22" applyFont="1" applyAlignment="1">
      <alignment horizontal="left" vertical="center"/>
    </xf>
    <xf numFmtId="0" fontId="36" fillId="0" borderId="6" xfId="22" applyFont="1" applyBorder="1" applyAlignment="1">
      <alignment horizontal="left" vertical="center"/>
    </xf>
    <xf numFmtId="0" fontId="24" fillId="0" borderId="7" xfId="22" applyFont="1" applyBorder="1" applyAlignment="1">
      <alignment horizontal="left" vertical="center" indent="3"/>
    </xf>
    <xf numFmtId="0" fontId="41" fillId="0" borderId="0" xfId="22" applyFont="1" applyAlignment="1">
      <alignment horizontal="center" vertical="center"/>
    </xf>
    <xf numFmtId="0" fontId="35" fillId="0" borderId="7" xfId="22" applyFont="1" applyBorder="1" applyAlignment="1">
      <alignment horizontal="left" vertical="center"/>
    </xf>
    <xf numFmtId="0" fontId="35" fillId="0" borderId="0" xfId="22" applyFont="1" applyAlignment="1">
      <alignment horizontal="left" vertical="center"/>
    </xf>
    <xf numFmtId="0" fontId="35" fillId="0" borderId="6" xfId="22" applyFont="1" applyBorder="1" applyAlignment="1">
      <alignment horizontal="left" vertical="center"/>
    </xf>
    <xf numFmtId="14" fontId="42" fillId="0" borderId="0" xfId="22" applyNumberFormat="1" applyFont="1" applyAlignment="1">
      <alignment horizontal="center" vertical="center"/>
    </xf>
    <xf numFmtId="0" fontId="35" fillId="0" borderId="7" xfId="22" applyFont="1" applyBorder="1" applyAlignment="1" applyProtection="1">
      <alignment horizontal="left" vertical="center"/>
      <protection locked="0"/>
    </xf>
    <xf numFmtId="0" fontId="35" fillId="0" borderId="0" xfId="22" applyFont="1" applyAlignment="1" applyProtection="1">
      <alignment horizontal="left" vertical="center"/>
      <protection locked="0"/>
    </xf>
    <xf numFmtId="0" fontId="35" fillId="0" borderId="6" xfId="22" applyFont="1" applyBorder="1" applyAlignment="1" applyProtection="1">
      <alignment horizontal="left" vertical="center"/>
      <protection locked="0"/>
    </xf>
    <xf numFmtId="14" fontId="41" fillId="0" borderId="0" xfId="22" applyNumberFormat="1" applyFont="1" applyAlignment="1">
      <alignment horizontal="center" vertical="center"/>
    </xf>
    <xf numFmtId="0" fontId="40" fillId="0" borderId="7" xfId="22" applyFont="1" applyBorder="1" applyAlignment="1">
      <alignment horizontal="left" vertical="center" indent="1"/>
    </xf>
    <xf numFmtId="169" fontId="41" fillId="0" borderId="0" xfId="22" applyNumberFormat="1" applyFont="1" applyAlignment="1">
      <alignment horizontal="center" vertical="center"/>
    </xf>
    <xf numFmtId="0" fontId="40" fillId="0" borderId="24" xfId="22" applyFont="1" applyBorder="1" applyAlignment="1">
      <alignment horizontal="left" vertical="center" indent="1"/>
    </xf>
    <xf numFmtId="0" fontId="36" fillId="0" borderId="1" xfId="22" applyFont="1" applyBorder="1" applyAlignment="1">
      <alignment horizontal="center" vertical="center"/>
    </xf>
    <xf numFmtId="14" fontId="36" fillId="0" borderId="1" xfId="22" applyNumberFormat="1" applyFont="1" applyBorder="1" applyAlignment="1">
      <alignment horizontal="center" vertical="center"/>
    </xf>
    <xf numFmtId="0" fontId="40" fillId="0" borderId="25" xfId="22" applyFont="1" applyBorder="1" applyAlignment="1">
      <alignment horizontal="left" vertical="center" indent="1"/>
    </xf>
    <xf numFmtId="169" fontId="36" fillId="0" borderId="26" xfId="22" applyNumberFormat="1" applyFont="1" applyBorder="1" applyAlignment="1">
      <alignment horizontal="center" vertical="center"/>
    </xf>
    <xf numFmtId="0" fontId="36" fillId="0" borderId="10" xfId="22" applyFont="1" applyBorder="1" applyAlignment="1">
      <alignment horizontal="left" vertical="center"/>
    </xf>
    <xf numFmtId="0" fontId="36" fillId="0" borderId="8" xfId="22" applyFont="1" applyBorder="1" applyAlignment="1">
      <alignment horizontal="left" vertical="center"/>
    </xf>
    <xf numFmtId="0" fontId="36" fillId="0" borderId="9" xfId="22" applyFont="1" applyBorder="1" applyAlignment="1">
      <alignment horizontal="left" vertical="center"/>
    </xf>
    <xf numFmtId="165" fontId="39" fillId="0" borderId="0" xfId="23" applyFont="1" applyAlignment="1">
      <alignment vertical="center"/>
    </xf>
    <xf numFmtId="165" fontId="43" fillId="0" borderId="0" xfId="23" applyFont="1" applyAlignment="1">
      <alignment vertical="center"/>
    </xf>
    <xf numFmtId="0" fontId="36" fillId="0" borderId="0" xfId="0" applyFont="1"/>
    <xf numFmtId="0" fontId="0" fillId="0" borderId="0" xfId="0" applyAlignment="1">
      <alignment horizontal="center"/>
    </xf>
    <xf numFmtId="17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1" xfId="22" applyFont="1" applyBorder="1" applyAlignment="1" applyProtection="1">
      <alignment vertical="center"/>
      <protection locked="0"/>
    </xf>
    <xf numFmtId="0" fontId="20" fillId="0" borderId="0" xfId="22" applyFont="1" applyBorder="1" applyAlignment="1" applyProtection="1">
      <alignment horizontal="left" vertical="center"/>
      <protection locked="0"/>
    </xf>
    <xf numFmtId="0" fontId="27" fillId="0" borderId="29" xfId="22" applyFont="1" applyBorder="1" applyAlignment="1" applyProtection="1">
      <alignment horizontal="right" vertical="center" indent="3"/>
      <protection locked="0"/>
    </xf>
    <xf numFmtId="0" fontId="0" fillId="0" borderId="0" xfId="0" applyBorder="1"/>
    <xf numFmtId="0" fontId="0" fillId="0" borderId="29" xfId="0" applyBorder="1"/>
    <xf numFmtId="0" fontId="30" fillId="0" borderId="13" xfId="22" applyFont="1" applyBorder="1" applyAlignment="1" applyProtection="1">
      <alignment vertical="center"/>
      <protection locked="0"/>
    </xf>
    <xf numFmtId="0" fontId="29" fillId="0" borderId="14" xfId="22" applyFont="1" applyBorder="1" applyAlignment="1">
      <alignment horizontal="right" vertical="center"/>
    </xf>
    <xf numFmtId="0" fontId="29" fillId="0" borderId="15" xfId="22" applyFont="1" applyBorder="1" applyAlignment="1">
      <alignment horizontal="right" vertical="center"/>
    </xf>
    <xf numFmtId="0" fontId="0" fillId="0" borderId="4" xfId="0" applyBorder="1"/>
    <xf numFmtId="0" fontId="22" fillId="0" borderId="29" xfId="22" applyFont="1" applyBorder="1" applyAlignment="1" applyProtection="1">
      <alignment vertical="center"/>
      <protection locked="0"/>
    </xf>
    <xf numFmtId="0" fontId="19" fillId="0" borderId="5" xfId="22" applyFont="1" applyBorder="1" applyAlignment="1">
      <alignment vertical="center"/>
    </xf>
    <xf numFmtId="0" fontId="19" fillId="0" borderId="12" xfId="22" applyFont="1" applyBorder="1" applyAlignment="1">
      <alignment vertical="center"/>
    </xf>
    <xf numFmtId="0" fontId="21" fillId="0" borderId="29" xfId="22" applyFont="1" applyBorder="1" applyAlignment="1" applyProtection="1">
      <alignment vertical="center"/>
      <protection locked="0"/>
    </xf>
    <xf numFmtId="0" fontId="25" fillId="0" borderId="0" xfId="22" applyFont="1" applyBorder="1" applyAlignment="1">
      <alignment horizontal="center" vertical="center"/>
    </xf>
    <xf numFmtId="0" fontId="44" fillId="0" borderId="0" xfId="22" applyFont="1" applyBorder="1" applyAlignment="1" applyProtection="1">
      <alignment vertical="center"/>
      <protection locked="0"/>
    </xf>
    <xf numFmtId="0" fontId="45" fillId="0" borderId="0" xfId="22" applyFont="1" applyBorder="1" applyAlignment="1" applyProtection="1">
      <alignment vertical="center"/>
      <protection locked="0"/>
    </xf>
    <xf numFmtId="0" fontId="45" fillId="0" borderId="0" xfId="22" applyFont="1" applyBorder="1" applyAlignment="1" applyProtection="1">
      <alignment horizontal="left" vertical="center"/>
      <protection locked="0"/>
    </xf>
    <xf numFmtId="0" fontId="20" fillId="0" borderId="11" xfId="22" applyFont="1" applyBorder="1" applyAlignment="1">
      <alignment vertical="center"/>
    </xf>
    <xf numFmtId="0" fontId="20" fillId="0" borderId="5" xfId="22" applyFont="1" applyBorder="1" applyAlignment="1">
      <alignment vertical="center"/>
    </xf>
    <xf numFmtId="0" fontId="20" fillId="0" borderId="4" xfId="22" applyFont="1" applyBorder="1" applyAlignment="1">
      <alignment vertical="center"/>
    </xf>
    <xf numFmtId="0" fontId="20" fillId="0" borderId="0" xfId="22" applyFont="1" applyBorder="1" applyAlignment="1">
      <alignment vertical="center"/>
    </xf>
    <xf numFmtId="0" fontId="23" fillId="0" borderId="4" xfId="22" applyFont="1" applyBorder="1" applyAlignment="1">
      <alignment vertical="center"/>
    </xf>
    <xf numFmtId="0" fontId="23" fillId="0" borderId="0" xfId="22" applyFont="1" applyBorder="1" applyAlignment="1">
      <alignment vertical="center"/>
    </xf>
    <xf numFmtId="0" fontId="24" fillId="0" borderId="4" xfId="22" applyFont="1" applyBorder="1" applyAlignment="1">
      <alignment vertical="center"/>
    </xf>
    <xf numFmtId="0" fontId="24" fillId="0" borderId="0" xfId="22" applyFont="1" applyBorder="1" applyAlignment="1">
      <alignment vertical="center"/>
    </xf>
    <xf numFmtId="0" fontId="28" fillId="0" borderId="4" xfId="22" applyFont="1" applyBorder="1" applyAlignment="1" applyProtection="1">
      <alignment vertical="center"/>
      <protection locked="0"/>
    </xf>
    <xf numFmtId="0" fontId="28" fillId="0" borderId="0" xfId="22" applyFont="1" applyBorder="1" applyAlignment="1" applyProtection="1">
      <alignment vertical="center"/>
      <protection locked="0"/>
    </xf>
    <xf numFmtId="0" fontId="20" fillId="0" borderId="12" xfId="22" applyFont="1" applyBorder="1" applyAlignment="1">
      <alignment vertical="center"/>
    </xf>
    <xf numFmtId="0" fontId="20" fillId="0" borderId="29" xfId="22" applyFont="1" applyBorder="1" applyAlignment="1">
      <alignment vertical="center"/>
    </xf>
    <xf numFmtId="0" fontId="23" fillId="0" borderId="29" xfId="22" applyFont="1" applyBorder="1" applyAlignment="1">
      <alignment vertical="center"/>
    </xf>
    <xf numFmtId="0" fontId="24" fillId="0" borderId="29" xfId="22" applyFont="1" applyBorder="1" applyAlignment="1">
      <alignment vertical="center"/>
    </xf>
    <xf numFmtId="0" fontId="25" fillId="0" borderId="4" xfId="22" applyFont="1" applyBorder="1" applyAlignment="1">
      <alignment horizontal="center" vertical="center"/>
    </xf>
    <xf numFmtId="0" fontId="25" fillId="0" borderId="29" xfId="22" applyFont="1" applyBorder="1" applyAlignment="1">
      <alignment horizontal="center" vertical="center"/>
    </xf>
    <xf numFmtId="0" fontId="28" fillId="0" borderId="29" xfId="22" applyFont="1" applyBorder="1" applyAlignment="1" applyProtection="1">
      <alignment vertical="center"/>
      <protection locked="0"/>
    </xf>
    <xf numFmtId="0" fontId="28" fillId="0" borderId="13" xfId="22" applyFont="1" applyBorder="1" applyAlignment="1" applyProtection="1">
      <alignment vertical="center"/>
      <protection locked="0"/>
    </xf>
    <xf numFmtId="0" fontId="28" fillId="0" borderId="14" xfId="22" applyFont="1" applyBorder="1" applyAlignment="1" applyProtection="1">
      <alignment vertical="center"/>
      <protection locked="0"/>
    </xf>
    <xf numFmtId="0" fontId="28" fillId="0" borderId="15" xfId="22" applyFont="1" applyBorder="1" applyAlignment="1" applyProtection="1">
      <alignment vertical="center"/>
      <protection locked="0"/>
    </xf>
    <xf numFmtId="0" fontId="20" fillId="7" borderId="28" xfId="22" applyFont="1" applyFill="1" applyBorder="1" applyAlignment="1">
      <alignment horizontal="center" vertical="center" wrapText="1"/>
    </xf>
    <xf numFmtId="0" fontId="48" fillId="0" borderId="2" xfId="0" applyFont="1" applyFill="1" applyBorder="1"/>
    <xf numFmtId="0" fontId="48" fillId="0" borderId="2" xfId="0" applyNumberFormat="1" applyFont="1" applyFill="1" applyBorder="1"/>
    <xf numFmtId="164" fontId="48" fillId="0" borderId="3" xfId="0" applyNumberFormat="1" applyFont="1" applyFill="1" applyBorder="1"/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70" fontId="0" fillId="0" borderId="0" xfId="0" applyNumberFormat="1" applyFill="1" applyBorder="1" applyAlignment="1">
      <alignment horizontal="right"/>
    </xf>
    <xf numFmtId="170" fontId="48" fillId="0" borderId="1" xfId="0" applyNumberFormat="1" applyFont="1" applyFill="1" applyBorder="1" applyAlignment="1">
      <alignment horizontal="right"/>
    </xf>
    <xf numFmtId="170" fontId="0" fillId="9" borderId="1" xfId="0" applyNumberForma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right"/>
    </xf>
    <xf numFmtId="167" fontId="23" fillId="0" borderId="16" xfId="21" applyNumberFormat="1" applyFont="1" applyBorder="1" applyAlignment="1" applyProtection="1">
      <alignment horizontal="center" vertical="center"/>
      <protection locked="0"/>
    </xf>
    <xf numFmtId="0" fontId="38" fillId="0" borderId="16" xfId="22" applyFont="1" applyBorder="1" applyAlignment="1" applyProtection="1">
      <alignment horizontal="center" vertical="center"/>
      <protection locked="0"/>
    </xf>
    <xf numFmtId="0" fontId="23" fillId="0" borderId="16" xfId="22" applyFont="1" applyBorder="1" applyAlignment="1" applyProtection="1">
      <alignment horizontal="center" vertical="center"/>
      <protection locked="0"/>
    </xf>
    <xf numFmtId="14" fontId="38" fillId="0" borderId="16" xfId="22" applyNumberFormat="1" applyFont="1" applyBorder="1" applyAlignment="1" applyProtection="1">
      <alignment horizontal="center" vertical="center"/>
      <protection locked="0"/>
    </xf>
    <xf numFmtId="0" fontId="28" fillId="0" borderId="0" xfId="22" applyFont="1" applyAlignment="1">
      <alignment vertical="center"/>
    </xf>
    <xf numFmtId="0" fontId="0" fillId="0" borderId="0" xfId="0" applyFont="1"/>
    <xf numFmtId="0" fontId="18" fillId="0" borderId="0" xfId="22" applyFont="1" applyFill="1" applyAlignment="1" applyProtection="1">
      <alignment vertical="center"/>
      <protection locked="0"/>
    </xf>
    <xf numFmtId="0" fontId="49" fillId="0" borderId="0" xfId="0" applyFont="1" applyAlignment="1"/>
    <xf numFmtId="0" fontId="7" fillId="0" borderId="0" xfId="9" applyFont="1" applyFill="1"/>
    <xf numFmtId="0" fontId="41" fillId="0" borderId="0" xfId="9" applyFont="1" applyFill="1" applyAlignment="1">
      <alignment horizontal="left"/>
    </xf>
    <xf numFmtId="1" fontId="7" fillId="0" borderId="0" xfId="9" applyNumberFormat="1" applyFont="1" applyFill="1" applyAlignment="1">
      <alignment horizontal="center" vertical="center"/>
    </xf>
    <xf numFmtId="0" fontId="50" fillId="0" borderId="30" xfId="0" applyNumberFormat="1" applyFont="1" applyBorder="1" applyAlignment="1"/>
    <xf numFmtId="0" fontId="40" fillId="0" borderId="30" xfId="0" applyNumberFormat="1" applyFont="1" applyBorder="1" applyAlignment="1">
      <alignment horizontal="left"/>
    </xf>
    <xf numFmtId="1" fontId="50" fillId="0" borderId="30" xfId="0" applyNumberFormat="1" applyFont="1" applyBorder="1" applyAlignment="1">
      <alignment horizontal="center" vertical="center"/>
    </xf>
    <xf numFmtId="0" fontId="51" fillId="0" borderId="0" xfId="0" applyFont="1"/>
    <xf numFmtId="0" fontId="0" fillId="0" borderId="0" xfId="0" applyFont="1" applyFill="1" applyBorder="1"/>
    <xf numFmtId="0" fontId="0" fillId="0" borderId="0" xfId="0" applyNumberFormat="1" applyFont="1" applyFill="1" applyBorder="1" applyAlignment="1" applyProtection="1">
      <alignment vertical="top"/>
    </xf>
    <xf numFmtId="0" fontId="52" fillId="0" borderId="0" xfId="0" applyFont="1"/>
    <xf numFmtId="172" fontId="0" fillId="0" borderId="0" xfId="0" applyNumberFormat="1"/>
    <xf numFmtId="0" fontId="7" fillId="10" borderId="0" xfId="9" applyNumberFormat="1" applyFont="1" applyFill="1" applyBorder="1" applyAlignment="1"/>
    <xf numFmtId="167" fontId="7" fillId="10" borderId="0" xfId="9" applyNumberFormat="1" applyFont="1" applyFill="1" applyBorder="1" applyAlignment="1"/>
    <xf numFmtId="0" fontId="7" fillId="0" borderId="0" xfId="9" applyNumberFormat="1" applyFont="1" applyBorder="1" applyAlignment="1"/>
    <xf numFmtId="167" fontId="7" fillId="0" borderId="0" xfId="9" applyNumberFormat="1" applyFont="1" applyBorder="1" applyAlignment="1"/>
    <xf numFmtId="0" fontId="7" fillId="10" borderId="31" xfId="9" applyNumberFormat="1" applyFont="1" applyFill="1" applyBorder="1" applyAlignment="1"/>
    <xf numFmtId="167" fontId="7" fillId="10" borderId="31" xfId="9" applyNumberFormat="1" applyFont="1" applyFill="1" applyBorder="1" applyAlignment="1"/>
    <xf numFmtId="0" fontId="54" fillId="0" borderId="0" xfId="0" applyFont="1" applyFill="1" applyBorder="1"/>
    <xf numFmtId="0" fontId="55" fillId="0" borderId="0" xfId="0" applyFont="1" applyFill="1"/>
    <xf numFmtId="0" fontId="55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53" fillId="0" borderId="0" xfId="0" applyFont="1" applyAlignment="1">
      <alignment horizontal="center"/>
    </xf>
    <xf numFmtId="0" fontId="51" fillId="0" borderId="0" xfId="0" applyFont="1" applyBorder="1"/>
    <xf numFmtId="0" fontId="49" fillId="0" borderId="0" xfId="0" applyFont="1" applyFill="1" applyBorder="1"/>
    <xf numFmtId="0" fontId="5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6" fillId="0" borderId="0" xfId="0" applyFont="1" applyFill="1" applyAlignment="1">
      <alignment horizontal="center"/>
    </xf>
    <xf numFmtId="1" fontId="57" fillId="0" borderId="0" xfId="9" applyNumberFormat="1" applyFont="1" applyFill="1" applyAlignment="1">
      <alignment horizontal="center" vertical="center"/>
    </xf>
    <xf numFmtId="166" fontId="58" fillId="0" borderId="0" xfId="0" applyNumberFormat="1" applyFont="1" applyAlignment="1">
      <alignment horizontal="right"/>
    </xf>
    <xf numFmtId="1" fontId="58" fillId="0" borderId="0" xfId="0" applyNumberFormat="1" applyFont="1"/>
    <xf numFmtId="0" fontId="58" fillId="0" borderId="0" xfId="0" applyFont="1" applyFill="1"/>
    <xf numFmtId="0" fontId="58" fillId="0" borderId="0" xfId="0" applyFont="1"/>
    <xf numFmtId="167" fontId="58" fillId="0" borderId="0" xfId="0" applyNumberFormat="1" applyFont="1"/>
    <xf numFmtId="0" fontId="59" fillId="0" borderId="0" xfId="9" applyFont="1" applyFill="1"/>
    <xf numFmtId="171" fontId="59" fillId="0" borderId="0" xfId="9" applyNumberFormat="1" applyFont="1" applyFill="1"/>
    <xf numFmtId="172" fontId="59" fillId="0" borderId="0" xfId="9" applyNumberFormat="1" applyFont="1" applyFill="1"/>
    <xf numFmtId="164" fontId="59" fillId="0" borderId="0" xfId="9" applyNumberFormat="1" applyFont="1" applyFill="1" applyAlignment="1">
      <alignment horizontal="center"/>
    </xf>
    <xf numFmtId="0" fontId="59" fillId="0" borderId="0" xfId="9" applyFont="1" applyFill="1" applyAlignment="1">
      <alignment horizontal="center"/>
    </xf>
    <xf numFmtId="173" fontId="59" fillId="0" borderId="0" xfId="9" applyNumberFormat="1" applyFont="1" applyFill="1" applyAlignment="1">
      <alignment horizontal="center"/>
    </xf>
    <xf numFmtId="0" fontId="59" fillId="0" borderId="0" xfId="0" applyNumberFormat="1" applyFont="1" applyFill="1" applyBorder="1" applyAlignment="1" applyProtection="1"/>
    <xf numFmtId="171" fontId="59" fillId="0" borderId="0" xfId="0" applyNumberFormat="1" applyFont="1" applyFill="1" applyBorder="1" applyAlignment="1" applyProtection="1"/>
    <xf numFmtId="172" fontId="59" fillId="0" borderId="0" xfId="0" applyNumberFormat="1" applyFont="1" applyFill="1" applyBorder="1" applyAlignment="1" applyProtection="1"/>
    <xf numFmtId="164" fontId="59" fillId="0" borderId="0" xfId="0" applyNumberFormat="1" applyFont="1" applyFill="1" applyBorder="1" applyAlignment="1" applyProtection="1">
      <alignment horizontal="center"/>
    </xf>
    <xf numFmtId="0" fontId="59" fillId="0" borderId="0" xfId="0" applyNumberFormat="1" applyFont="1" applyFill="1" applyBorder="1" applyAlignment="1" applyProtection="1">
      <alignment horizontal="center"/>
    </xf>
    <xf numFmtId="173" fontId="59" fillId="0" borderId="0" xfId="0" applyNumberFormat="1" applyFont="1" applyFill="1" applyBorder="1" applyAlignment="1" applyProtection="1">
      <alignment horizontal="center"/>
    </xf>
    <xf numFmtId="7" fontId="0" fillId="0" borderId="0" xfId="0" applyNumberForma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right" vertical="center"/>
    </xf>
    <xf numFmtId="0" fontId="17" fillId="6" borderId="2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166" fontId="14" fillId="0" borderId="0" xfId="0" applyNumberFormat="1" applyFont="1" applyFill="1" applyBorder="1" applyAlignment="1">
      <alignment horizontal="center" vertical="center"/>
    </xf>
    <xf numFmtId="0" fontId="36" fillId="0" borderId="7" xfId="22" applyFont="1" applyBorder="1" applyAlignment="1">
      <alignment horizontal="left" vertical="center"/>
    </xf>
    <xf numFmtId="0" fontId="36" fillId="0" borderId="0" xfId="22" applyFont="1" applyBorder="1" applyAlignment="1">
      <alignment horizontal="left" vertical="center"/>
    </xf>
    <xf numFmtId="0" fontId="36" fillId="0" borderId="6" xfId="22" applyFont="1" applyBorder="1" applyAlignment="1">
      <alignment horizontal="left" vertical="center"/>
    </xf>
    <xf numFmtId="0" fontId="33" fillId="7" borderId="17" xfId="22" applyFont="1" applyFill="1" applyBorder="1" applyAlignment="1">
      <alignment horizontal="center" vertical="center"/>
    </xf>
    <xf numFmtId="0" fontId="33" fillId="7" borderId="27" xfId="22" applyFont="1" applyFill="1" applyBorder="1" applyAlignment="1">
      <alignment horizontal="center" vertical="center"/>
    </xf>
    <xf numFmtId="0" fontId="33" fillId="7" borderId="18" xfId="22" applyFont="1" applyFill="1" applyBorder="1" applyAlignment="1">
      <alignment horizontal="center" vertical="center"/>
    </xf>
    <xf numFmtId="0" fontId="33" fillId="0" borderId="20" xfId="22" applyFont="1" applyBorder="1" applyAlignment="1">
      <alignment horizontal="center" vertical="center"/>
    </xf>
    <xf numFmtId="0" fontId="18" fillId="0" borderId="0" xfId="22" applyFont="1" applyAlignment="1" applyProtection="1">
      <alignment horizontal="center" vertical="center"/>
      <protection locked="0"/>
    </xf>
    <xf numFmtId="0" fontId="20" fillId="7" borderId="28" xfId="22" applyFont="1" applyFill="1" applyBorder="1" applyAlignment="1">
      <alignment horizontal="center" vertical="center"/>
    </xf>
    <xf numFmtId="0" fontId="20" fillId="7" borderId="2" xfId="22" applyFont="1" applyFill="1" applyBorder="1" applyAlignment="1">
      <alignment horizontal="center" vertical="center"/>
    </xf>
    <xf numFmtId="0" fontId="20" fillId="7" borderId="3" xfId="22" applyFont="1" applyFill="1" applyBorder="1" applyAlignment="1">
      <alignment horizontal="center" vertical="center"/>
    </xf>
    <xf numFmtId="0" fontId="34" fillId="0" borderId="7" xfId="22" applyFont="1" applyBorder="1" applyAlignment="1">
      <alignment horizontal="left" vertical="center"/>
    </xf>
    <xf numFmtId="0" fontId="34" fillId="0" borderId="0" xfId="22" applyFont="1" applyBorder="1" applyAlignment="1">
      <alignment horizontal="left" vertical="center"/>
    </xf>
    <xf numFmtId="0" fontId="34" fillId="0" borderId="6" xfId="22" applyFont="1" applyBorder="1" applyAlignment="1">
      <alignment horizontal="left" vertical="center"/>
    </xf>
    <xf numFmtId="0" fontId="40" fillId="0" borderId="22" xfId="22" applyFont="1" applyBorder="1" applyAlignment="1">
      <alignment horizontal="center" vertical="center"/>
    </xf>
    <xf numFmtId="0" fontId="40" fillId="0" borderId="23" xfId="22" applyFont="1" applyBorder="1" applyAlignment="1">
      <alignment horizontal="center" vertical="center"/>
    </xf>
    <xf numFmtId="0" fontId="35" fillId="0" borderId="7" xfId="22" applyFont="1" applyBorder="1" applyAlignment="1">
      <alignment horizontal="left" vertical="center"/>
    </xf>
    <xf numFmtId="0" fontId="35" fillId="0" borderId="0" xfId="22" applyFont="1" applyBorder="1" applyAlignment="1">
      <alignment horizontal="left" vertical="center"/>
    </xf>
    <xf numFmtId="0" fontId="35" fillId="0" borderId="6" xfId="22" applyFont="1" applyBorder="1" applyAlignment="1">
      <alignment horizontal="left" vertical="center"/>
    </xf>
    <xf numFmtId="0" fontId="20" fillId="0" borderId="7" xfId="22" applyFont="1" applyBorder="1" applyAlignment="1">
      <alignment horizontal="center" vertical="center"/>
    </xf>
    <xf numFmtId="0" fontId="20" fillId="0" borderId="6" xfId="22" applyFont="1" applyBorder="1" applyAlignment="1">
      <alignment horizontal="center" vertical="center"/>
    </xf>
    <xf numFmtId="0" fontId="20" fillId="0" borderId="7" xfId="22" applyFont="1" applyBorder="1" applyAlignment="1" applyProtection="1">
      <alignment horizontal="center" vertical="center"/>
      <protection locked="0"/>
    </xf>
    <xf numFmtId="0" fontId="20" fillId="0" borderId="6" xfId="22" applyFont="1" applyBorder="1" applyAlignment="1" applyProtection="1">
      <alignment horizontal="center" vertical="center"/>
      <protection locked="0"/>
    </xf>
    <xf numFmtId="0" fontId="34" fillId="0" borderId="0" xfId="22" applyFont="1" applyAlignment="1">
      <alignment horizontal="center" vertical="center"/>
    </xf>
    <xf numFmtId="0" fontId="36" fillId="0" borderId="0" xfId="22" applyFont="1" applyAlignment="1">
      <alignment horizontal="center" vertical="center"/>
    </xf>
    <xf numFmtId="0" fontId="35" fillId="0" borderId="7" xfId="22" applyFont="1" applyBorder="1" applyAlignment="1" applyProtection="1">
      <alignment horizontal="left" vertical="center"/>
      <protection locked="0"/>
    </xf>
    <xf numFmtId="0" fontId="35" fillId="0" borderId="0" xfId="22" applyFont="1" applyBorder="1" applyAlignment="1" applyProtection="1">
      <alignment horizontal="left" vertical="center"/>
      <protection locked="0"/>
    </xf>
    <xf numFmtId="0" fontId="35" fillId="0" borderId="6" xfId="22" applyFont="1" applyBorder="1" applyAlignment="1" applyProtection="1">
      <alignment horizontal="left" vertical="center"/>
      <protection locked="0"/>
    </xf>
    <xf numFmtId="0" fontId="40" fillId="8" borderId="17" xfId="22" applyFont="1" applyFill="1" applyBorder="1" applyAlignment="1">
      <alignment horizontal="center" vertical="center"/>
    </xf>
    <xf numFmtId="0" fontId="40" fillId="8" borderId="18" xfId="22" applyFont="1" applyFill="1" applyBorder="1" applyAlignment="1">
      <alignment horizontal="center" vertical="center"/>
    </xf>
    <xf numFmtId="0" fontId="37" fillId="0" borderId="0" xfId="22" applyFont="1" applyAlignment="1">
      <alignment horizontal="center" vertical="center"/>
    </xf>
    <xf numFmtId="166" fontId="33" fillId="0" borderId="0" xfId="22" applyNumberFormat="1" applyFont="1" applyAlignment="1" applyProtection="1">
      <alignment horizontal="left" vertical="top"/>
      <protection locked="0"/>
    </xf>
    <xf numFmtId="0" fontId="20" fillId="0" borderId="0" xfId="22" applyFont="1" applyAlignment="1">
      <alignment horizontal="center" vertical="center"/>
    </xf>
    <xf numFmtId="0" fontId="18" fillId="0" borderId="8" xfId="22" applyFont="1" applyBorder="1" applyAlignment="1">
      <alignment horizontal="left" vertical="center" indent="1"/>
    </xf>
    <xf numFmtId="0" fontId="40" fillId="8" borderId="17" xfId="22" applyFont="1" applyFill="1" applyBorder="1" applyAlignment="1" applyProtection="1">
      <alignment horizontal="center" vertical="center"/>
      <protection locked="0"/>
    </xf>
    <xf numFmtId="0" fontId="40" fillId="8" borderId="18" xfId="22" applyFont="1" applyFill="1" applyBorder="1" applyAlignment="1" applyProtection="1">
      <alignment horizontal="center" vertical="center"/>
      <protection locked="0"/>
    </xf>
    <xf numFmtId="0" fontId="20" fillId="0" borderId="19" xfId="22" applyFont="1" applyBorder="1" applyAlignment="1">
      <alignment horizontal="center" vertical="center"/>
    </xf>
    <xf numFmtId="0" fontId="20" fillId="0" borderId="20" xfId="22" applyFont="1" applyBorder="1" applyAlignment="1">
      <alignment horizontal="center" vertical="center"/>
    </xf>
    <xf numFmtId="0" fontId="20" fillId="0" borderId="21" xfId="22" applyFont="1" applyBorder="1" applyAlignment="1">
      <alignment horizontal="center" vertical="center"/>
    </xf>
    <xf numFmtId="0" fontId="31" fillId="0" borderId="0" xfId="22" applyFont="1" applyAlignment="1">
      <alignment horizontal="center"/>
    </xf>
    <xf numFmtId="0" fontId="32" fillId="0" borderId="0" xfId="22" applyFont="1" applyAlignment="1">
      <alignment horizontal="center" vertical="center"/>
    </xf>
    <xf numFmtId="0" fontId="23" fillId="0" borderId="4" xfId="22" applyFont="1" applyBorder="1" applyAlignment="1">
      <alignment horizontal="center" vertical="center"/>
    </xf>
    <xf numFmtId="0" fontId="23" fillId="0" borderId="0" xfId="22" applyFont="1" applyBorder="1" applyAlignment="1">
      <alignment horizontal="center" vertical="center"/>
    </xf>
    <xf numFmtId="0" fontId="23" fillId="0" borderId="29" xfId="22" applyFont="1" applyBorder="1" applyAlignment="1">
      <alignment horizontal="center" vertical="center"/>
    </xf>
    <xf numFmtId="0" fontId="26" fillId="0" borderId="0" xfId="22" applyFont="1" applyAlignment="1">
      <alignment horizontal="center" vertical="center"/>
    </xf>
    <xf numFmtId="0" fontId="33" fillId="0" borderId="0" xfId="22" applyFont="1" applyAlignment="1">
      <alignment horizontal="center" vertical="center"/>
    </xf>
    <xf numFmtId="0" fontId="2" fillId="3" borderId="0" xfId="0" applyFont="1" applyFill="1" applyAlignment="1">
      <alignment horizontal="center"/>
    </xf>
  </cellXfs>
  <cellStyles count="144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10" builtinId="8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5" builtinId="9" hidden="1"/>
    <cellStyle name="Lien hypertexte visité" xfId="16" builtinId="9" hidden="1"/>
    <cellStyle name="Lien hypertexte visité" xfId="17" builtinId="9" hidden="1"/>
    <cellStyle name="Lien hypertexte visité" xfId="18" builtinId="9" hidden="1"/>
    <cellStyle name="Lien hypertexte visité" xfId="19" builtinId="9" hidden="1"/>
    <cellStyle name="Lien hypertexte visité" xfId="20" builtinId="9" hidden="1"/>
    <cellStyle name="Lien hypertexte visité" xfId="24" builtinId="9" hidden="1"/>
    <cellStyle name="Lien hypertexte visité" xfId="25" builtinId="9" hidden="1"/>
    <cellStyle name="Lien hypertexte visité" xfId="26" builtinId="9" hidden="1"/>
    <cellStyle name="Lien hypertexte visité" xfId="27" builtinId="9" hidden="1"/>
    <cellStyle name="Lien hypertexte visité" xfId="28" builtinId="9" hidden="1"/>
    <cellStyle name="Lien hypertexte visité" xfId="29" builtinId="9" hidden="1"/>
    <cellStyle name="Lien hypertexte visité" xfId="30" builtinId="9" hidden="1"/>
    <cellStyle name="Lien hypertexte visité" xfId="31" builtinId="9" hidden="1"/>
    <cellStyle name="Lien hypertexte visité" xfId="32" builtinId="9" hidden="1"/>
    <cellStyle name="Lien hypertexte visité" xfId="33" builtinId="9" hidden="1"/>
    <cellStyle name="Lien hypertexte visité" xfId="34" builtinId="9" hidden="1"/>
    <cellStyle name="Lien hypertexte visité" xfId="35" builtinId="9" hidden="1"/>
    <cellStyle name="Lien hypertexte visité" xfId="36" builtinId="9" hidden="1"/>
    <cellStyle name="Lien hypertexte visité" xfId="37" builtinId="9" hidden="1"/>
    <cellStyle name="Lien hypertexte visité" xfId="38" builtinId="9" hidden="1"/>
    <cellStyle name="Lien hypertexte visité" xfId="39" builtinId="9" hidden="1"/>
    <cellStyle name="Lien hypertexte visité" xfId="40" builtinId="9" hidden="1"/>
    <cellStyle name="Lien hypertexte visité" xfId="41" builtinId="9" hidden="1"/>
    <cellStyle name="Lien hypertexte visité" xfId="42" builtinId="9" hidden="1"/>
    <cellStyle name="Lien hypertexte visité" xfId="43" builtinId="9" hidden="1"/>
    <cellStyle name="Lien hypertexte visité" xfId="44" builtinId="9" hidden="1"/>
    <cellStyle name="Lien hypertexte visité" xfId="45" builtinId="9" hidden="1"/>
    <cellStyle name="Lien hypertexte visité" xfId="46" builtinId="9" hidden="1"/>
    <cellStyle name="Lien hypertexte visité" xfId="47" builtinId="9" hidden="1"/>
    <cellStyle name="Lien hypertexte visité" xfId="48" builtinId="9" hidden="1"/>
    <cellStyle name="Lien hypertexte visité" xfId="49" builtinId="9" hidden="1"/>
    <cellStyle name="Lien hypertexte visité" xfId="50" builtinId="9" hidden="1"/>
    <cellStyle name="Lien hypertexte visité" xfId="51" builtinId="9" hidden="1"/>
    <cellStyle name="Lien hypertexte visité" xfId="52" builtinId="9" hidden="1"/>
    <cellStyle name="Lien hypertexte visité" xfId="53" builtinId="9" hidden="1"/>
    <cellStyle name="Lien hypertexte visité" xfId="54" builtinId="9" hidden="1"/>
    <cellStyle name="Lien hypertexte visité" xfId="55" builtinId="9" hidden="1"/>
    <cellStyle name="Lien hypertexte visité" xfId="56" builtinId="9" hidden="1"/>
    <cellStyle name="Lien hypertexte visité" xfId="57" builtinId="9" hidden="1"/>
    <cellStyle name="Lien hypertexte visité" xfId="58" builtinId="9" hidden="1"/>
    <cellStyle name="Lien hypertexte visité" xfId="59" builtinId="9" hidden="1"/>
    <cellStyle name="Lien hypertexte visité" xfId="60" builtinId="9" hidden="1"/>
    <cellStyle name="Lien hypertexte visité" xfId="61" builtinId="9" hidden="1"/>
    <cellStyle name="Lien hypertexte visité" xfId="62" builtinId="9" hidden="1"/>
    <cellStyle name="Lien hypertexte visité" xfId="63" builtinId="9" hidden="1"/>
    <cellStyle name="Lien hypertexte visité" xfId="64" builtinId="9" hidden="1"/>
    <cellStyle name="Lien hypertexte visité" xfId="65" builtinId="9" hidden="1"/>
    <cellStyle name="Lien hypertexte visité" xfId="66" builtinId="9" hidden="1"/>
    <cellStyle name="Lien hypertexte visité" xfId="67" builtinId="9" hidden="1"/>
    <cellStyle name="Lien hypertexte visité" xfId="68" builtinId="9" hidden="1"/>
    <cellStyle name="Lien hypertexte visité" xfId="69" builtinId="9" hidden="1"/>
    <cellStyle name="Lien hypertexte visité" xfId="70" builtinId="9" hidden="1"/>
    <cellStyle name="Lien hypertexte visité" xfId="71" builtinId="9" hidden="1"/>
    <cellStyle name="Lien hypertexte visité" xfId="72" builtinId="9" hidden="1"/>
    <cellStyle name="Lien hypertexte visité" xfId="73" builtinId="9" hidden="1"/>
    <cellStyle name="Lien hypertexte visité" xfId="74" builtinId="9" hidden="1"/>
    <cellStyle name="Lien hypertexte visité" xfId="75" builtinId="9" hidden="1"/>
    <cellStyle name="Lien hypertexte visité" xfId="76" builtinId="9" hidden="1"/>
    <cellStyle name="Lien hypertexte visité" xfId="77" builtinId="9" hidden="1"/>
    <cellStyle name="Lien hypertexte visité" xfId="78" builtinId="9" hidden="1"/>
    <cellStyle name="Lien hypertexte visité" xfId="79" builtinId="9" hidden="1"/>
    <cellStyle name="Lien hypertexte visité" xfId="80" builtinId="9" hidden="1"/>
    <cellStyle name="Lien hypertexte visité" xfId="81" builtinId="9" hidden="1"/>
    <cellStyle name="Lien hypertexte visité" xfId="82" builtinId="9" hidden="1"/>
    <cellStyle name="Lien hypertexte visité" xfId="83" builtinId="9" hidden="1"/>
    <cellStyle name="Lien hypertexte visité" xfId="84" builtinId="9" hidden="1"/>
    <cellStyle name="Lien hypertexte visité" xfId="85" builtinId="9" hidden="1"/>
    <cellStyle name="Lien hypertexte visité" xfId="86" builtinId="9" hidden="1"/>
    <cellStyle name="Lien hypertexte visité" xfId="87" builtinId="9" hidden="1"/>
    <cellStyle name="Lien hypertexte visité" xfId="88" builtinId="9" hidden="1"/>
    <cellStyle name="Lien hypertexte visité" xfId="89" builtinId="9" hidden="1"/>
    <cellStyle name="Lien hypertexte visité" xfId="90" builtinId="9" hidden="1"/>
    <cellStyle name="Lien hypertexte visité" xfId="91" builtinId="9" hidden="1"/>
    <cellStyle name="Lien hypertexte visité" xfId="92" builtinId="9" hidden="1"/>
    <cellStyle name="Lien hypertexte visité" xfId="93" builtinId="9" hidden="1"/>
    <cellStyle name="Lien hypertexte visité" xfId="94" builtinId="9" hidden="1"/>
    <cellStyle name="Lien hypertexte visité" xfId="95" builtinId="9" hidden="1"/>
    <cellStyle name="Lien hypertexte visité" xfId="96" builtinId="9" hidden="1"/>
    <cellStyle name="Lien hypertexte visité" xfId="97" builtinId="9" hidden="1"/>
    <cellStyle name="Lien hypertexte visité" xfId="98" builtinId="9" hidden="1"/>
    <cellStyle name="Lien hypertexte visité" xfId="99" builtinId="9" hidden="1"/>
    <cellStyle name="Lien hypertexte visité" xfId="100" builtinId="9" hidden="1"/>
    <cellStyle name="Lien hypertexte visité" xfId="101" builtinId="9" hidden="1"/>
    <cellStyle name="Lien hypertexte visité" xfId="102" builtinId="9" hidden="1"/>
    <cellStyle name="Lien hypertexte visité" xfId="103" builtinId="9" hidden="1"/>
    <cellStyle name="Lien hypertexte visité" xfId="104" builtinId="9" hidden="1"/>
    <cellStyle name="Lien hypertexte visité" xfId="105" builtinId="9" hidden="1"/>
    <cellStyle name="Lien hypertexte visité" xfId="106" builtinId="9" hidden="1"/>
    <cellStyle name="Lien hypertexte visité" xfId="107" builtinId="9" hidden="1"/>
    <cellStyle name="Lien hypertexte visité" xfId="108" builtinId="9" hidden="1"/>
    <cellStyle name="Lien hypertexte visité" xfId="109" builtinId="9" hidden="1"/>
    <cellStyle name="Lien hypertexte visité" xfId="110" builtinId="9" hidden="1"/>
    <cellStyle name="Lien hypertexte visité" xfId="111" builtinId="9" hidden="1"/>
    <cellStyle name="Lien hypertexte visité" xfId="112" builtinId="9" hidden="1"/>
    <cellStyle name="Lien hypertexte visité" xfId="113" builtinId="9" hidden="1"/>
    <cellStyle name="Lien hypertexte visité" xfId="114" builtinId="9" hidden="1"/>
    <cellStyle name="Lien hypertexte visité" xfId="115" builtinId="9" hidden="1"/>
    <cellStyle name="Lien hypertexte visité" xfId="116" builtinId="9" hidden="1"/>
    <cellStyle name="Lien hypertexte visité" xfId="117" builtinId="9" hidden="1"/>
    <cellStyle name="Lien hypertexte visité" xfId="118" builtinId="9" hidden="1"/>
    <cellStyle name="Lien hypertexte visité" xfId="119" builtinId="9" hidden="1"/>
    <cellStyle name="Lien hypertexte visité" xfId="120" builtinId="9" hidden="1"/>
    <cellStyle name="Lien hypertexte visité" xfId="121" builtinId="9" hidden="1"/>
    <cellStyle name="Lien hypertexte visité" xfId="122" builtinId="9" hidden="1"/>
    <cellStyle name="Lien hypertexte visité" xfId="123" builtinId="9" hidden="1"/>
    <cellStyle name="Lien hypertexte visité" xfId="124" builtinId="9" hidden="1"/>
    <cellStyle name="Lien hypertexte visité" xfId="125" builtinId="9" hidden="1"/>
    <cellStyle name="Lien hypertexte visité" xfId="126" builtinId="9" hidden="1"/>
    <cellStyle name="Lien hypertexte visité" xfId="127" builtinId="9" hidden="1"/>
    <cellStyle name="Lien hypertexte visité" xfId="128" builtinId="9" hidden="1"/>
    <cellStyle name="Lien hypertexte visité" xfId="129" builtinId="9" hidden="1"/>
    <cellStyle name="Lien hypertexte visité" xfId="130" builtinId="9" hidden="1"/>
    <cellStyle name="Lien hypertexte visité" xfId="131" builtinId="9" hidden="1"/>
    <cellStyle name="Lien hypertexte visité" xfId="132" builtinId="9" hidden="1"/>
    <cellStyle name="Lien hypertexte visité" xfId="133" builtinId="9" hidden="1"/>
    <cellStyle name="Lien hypertexte visité" xfId="134" builtinId="9" hidden="1"/>
    <cellStyle name="Lien hypertexte visité" xfId="135" builtinId="9" hidden="1"/>
    <cellStyle name="Lien hypertexte visité" xfId="136" builtinId="9" hidden="1"/>
    <cellStyle name="Lien hypertexte visité" xfId="137" builtinId="9" hidden="1"/>
    <cellStyle name="Lien hypertexte visité" xfId="138" builtinId="9" hidden="1"/>
    <cellStyle name="Lien hypertexte visité" xfId="139" builtinId="9" hidden="1"/>
    <cellStyle name="Lien hypertexte visité" xfId="140" builtinId="9" hidden="1"/>
    <cellStyle name="Lien hypertexte visité" xfId="141" builtinId="9" hidden="1"/>
    <cellStyle name="Lien hypertexte visité" xfId="142" builtinId="9" hidden="1"/>
    <cellStyle name="Lien hypertexte visité" xfId="143" builtinId="9" hidden="1"/>
    <cellStyle name="Monétaire" xfId="21" builtinId="4"/>
    <cellStyle name="Monétaire 2" xfId="23"/>
    <cellStyle name="Normal" xfId="0" builtinId="0"/>
    <cellStyle name="Normal 2" xfId="9"/>
    <cellStyle name="Normal 3" xfId="22"/>
  </cellStyles>
  <dxfs count="118">
    <dxf>
      <alignment horizontal="right" vertical="bottom" textRotation="0" wrapText="0" justifyLastLine="0" shrinkToFit="0"/>
    </dxf>
    <dxf>
      <alignment horizontal="center" vertical="bottom" textRotation="0" wrapText="0" indent="0" justifyLastLine="0" shrinkToFit="0"/>
    </dxf>
    <dxf>
      <alignment horizontal="right" vertical="bottom" textRotation="0" wrapText="0" justifyLastLine="0" shrinkToFit="0"/>
    </dxf>
    <dxf>
      <alignment horizontal="center" vertical="bottom" textRotation="0" wrapText="0" indent="0" justifyLastLine="0" shrinkToFit="0"/>
    </dxf>
    <dxf>
      <alignment horizontal="right" vertical="bottom" textRotation="0" wrapText="0" justifyLastLine="0" shrinkToFit="0"/>
    </dxf>
    <dxf>
      <alignment horizontal="center" vertical="bottom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right" vertical="bottom" textRotation="0" wrapTex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alignment horizontal="center" vertical="bottom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3" formatCode="m/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3" formatCode="m/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&quot;€&quot;#,##0.00_);\(&quot;€&quot;#,##0.0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&quot;€&quot;#,##0.00_);\(&quot;€&quot;#,##0.0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2" formatCode="_-* #,##0.00\ [$€-1]_-;\-* #,##0.00\ [$€-1]_-;_-* &quot;-&quot;??\ [$€-1]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2" formatCode="_-* #,##0.00\ [$€-1]_-;\-* #,##0.00\ [$€-1]_-;_-* &quot;-&quot;??\ [$€-1]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[$-40C]d\-mmm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[$-40C]d\-m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[$-40C]d\-mmm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[$-40C]d\-m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[$-40C]d\-mmm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[$-40C]d\-m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&quot;€&quot;#,##0.00_);\(&quot;€&quot;#,##0.00\)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rgb="FFB3B3B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rgb="FFB3B3B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rgb="FFB3B3B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rgb="FFB3B3B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0" formatCode="dddd\ d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170" formatCode="dddd\ d"/>
      <fill>
        <patternFill patternType="none">
          <fgColor indexed="64"/>
          <bgColor rgb="FFB3B3B3"/>
        </patternFill>
      </fill>
      <alignment horizontal="right" vertical="bottom" textRotation="0" wrapText="0" indent="0" justifyLastLine="0" shrinkToFit="0" readingOrder="0"/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B3B3B3"/>
        </patternFill>
      </fill>
    </dxf>
    <dxf>
      <fill>
        <patternFill patternType="none">
          <fgColor indexed="64"/>
          <bgColor rgb="FFB3B3B3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B3B3B3"/>
        </patternFill>
      </fill>
      <alignment horizontal="center" textRotation="0" wrapText="0" indent="0" justifyLastLine="0" shrinkToFit="0"/>
      <border diagonalUp="0" diagonalDown="0" outline="0">
        <left/>
        <right/>
        <top/>
        <bottom/>
      </border>
    </dxf>
    <dxf>
      <font>
        <b/>
        <i val="0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[$-40C]d\ mmmm\ yy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ill>
        <patternFill patternType="solid"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#,##0.00\ &quot;€&quot;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#,##0.00\ &quot;€&quot;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alignment vertical="bottom" textRotation="0" wrapTex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z val="11"/>
        <color auto="1"/>
      </font>
      <alignment vertical="bottom" textRotation="0" wrapText="0" justifyLastLine="0" shrinkToFit="0"/>
    </dxf>
    <dxf>
      <font>
        <sz val="11"/>
        <color auto="1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Relationship Id="rId2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622300</xdr:colOff>
      <xdr:row>2</xdr:row>
      <xdr:rowOff>114300</xdr:rowOff>
    </xdr:from>
    <xdr:to>
      <xdr:col>4</xdr:col>
      <xdr:colOff>73978</xdr:colOff>
      <xdr:row>9</xdr:row>
      <xdr:rowOff>152400</xdr:rowOff>
    </xdr:to>
    <xdr:pic>
      <xdr:nvPicPr>
        <xdr:cNvPr id="4" name="Logo Lycé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300" y="495300"/>
          <a:ext cx="2753678" cy="1866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3</xdr:col>
      <xdr:colOff>509000</xdr:colOff>
      <xdr:row>16</xdr:row>
      <xdr:rowOff>159000</xdr:rowOff>
    </xdr:to>
    <xdr:sp macro="[0]!Connecter" textlink="">
      <xdr:nvSpPr>
        <xdr:cNvPr id="18" name="ChoisirFonction"/>
        <xdr:cNvSpPr/>
      </xdr:nvSpPr>
      <xdr:spPr>
        <a:xfrm>
          <a:off x="825500" y="3327400"/>
          <a:ext cx="2160000" cy="5400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Choisir</a:t>
          </a:r>
          <a:r>
            <a:rPr lang="fr-FR" sz="1600" baseline="0"/>
            <a:t> une fonction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1228726</xdr:colOff>
      <xdr:row>10</xdr:row>
      <xdr:rowOff>229778</xdr:rowOff>
    </xdr:from>
    <xdr:to>
      <xdr:col>0</xdr:col>
      <xdr:colOff>1228727</xdr:colOff>
      <xdr:row>11</xdr:row>
      <xdr:rowOff>2357</xdr:rowOff>
    </xdr:to>
    <xdr:pic>
      <xdr:nvPicPr>
        <xdr:cNvPr id="4" name="Picture 9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6" y="2579278"/>
          <a:ext cx="1" cy="1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203200</xdr:colOff>
      <xdr:row>1</xdr:row>
      <xdr:rowOff>304800</xdr:rowOff>
    </xdr:from>
    <xdr:to>
      <xdr:col>0</xdr:col>
      <xdr:colOff>2349500</xdr:colOff>
      <xdr:row>6</xdr:row>
      <xdr:rowOff>223218</xdr:rowOff>
    </xdr:to>
    <xdr:pic>
      <xdr:nvPicPr>
        <xdr:cNvPr id="5" name="Logo Lycée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200" y="520700"/>
          <a:ext cx="2146300" cy="1455118"/>
        </a:xfrm>
        <a:prstGeom prst="rect">
          <a:avLst/>
        </a:prstGeom>
      </xdr:spPr>
    </xdr:pic>
    <xdr:clientData/>
  </xdr:twoCellAnchor>
  <xdr:oneCellAnchor>
    <xdr:from>
      <xdr:col>2</xdr:col>
      <xdr:colOff>1313077</xdr:colOff>
      <xdr:row>20</xdr:row>
      <xdr:rowOff>318414</xdr:rowOff>
    </xdr:from>
    <xdr:ext cx="1446550" cy="11472978"/>
    <xdr:sp macro="" textlink="">
      <xdr:nvSpPr>
        <xdr:cNvPr id="7" name="Rectangle 6"/>
        <xdr:cNvSpPr/>
      </xdr:nvSpPr>
      <xdr:spPr>
        <a:xfrm rot="18120000">
          <a:off x="2802263" y="10564028"/>
          <a:ext cx="11472978" cy="1446550"/>
        </a:xfrm>
        <a:prstGeom prst="rect">
          <a:avLst/>
        </a:prstGeom>
        <a:solidFill>
          <a:schemeClr val="lt1">
            <a:alpha val="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216000" tIns="45720" rIns="91440" bIns="45720">
          <a:spAutoFit/>
        </a:bodyPr>
        <a:lstStyle/>
        <a:p>
          <a:pPr algn="ctr"/>
          <a:r>
            <a:rPr lang="fr-FR" sz="8800" b="1" cap="none" spc="0">
              <a:ln w="12700">
                <a:noFill/>
                <a:prstDash val="solid"/>
              </a:ln>
              <a:solidFill>
                <a:schemeClr val="accent3">
                  <a:lumMod val="20000"/>
                  <a:lumOff val="80000"/>
                  <a:alpha val="41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Spécimen sans valeur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698500</xdr:colOff>
      <xdr:row>12</xdr:row>
      <xdr:rowOff>0</xdr:rowOff>
    </xdr:from>
    <xdr:to>
      <xdr:col>5</xdr:col>
      <xdr:colOff>382000</xdr:colOff>
      <xdr:row>14</xdr:row>
      <xdr:rowOff>159000</xdr:rowOff>
    </xdr:to>
    <xdr:sp macro="[0]!Connecter" textlink="">
      <xdr:nvSpPr>
        <xdr:cNvPr id="2" name="ChoisirFonction"/>
        <xdr:cNvSpPr/>
      </xdr:nvSpPr>
      <xdr:spPr>
        <a:xfrm>
          <a:off x="2349500" y="2286000"/>
          <a:ext cx="2160000" cy="5400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Choisir</a:t>
          </a:r>
          <a:r>
            <a:rPr lang="fr-FR" sz="1600" baseline="0"/>
            <a:t> une fonction</a:t>
          </a:r>
        </a:p>
      </xdr:txBody>
    </xdr:sp>
    <xdr:clientData/>
  </xdr:twoCellAnchor>
  <xdr:twoCellAnchor>
    <xdr:from>
      <xdr:col>2</xdr:col>
      <xdr:colOff>698500</xdr:colOff>
      <xdr:row>17</xdr:row>
      <xdr:rowOff>60325</xdr:rowOff>
    </xdr:from>
    <xdr:to>
      <xdr:col>5</xdr:col>
      <xdr:colOff>382000</xdr:colOff>
      <xdr:row>20</xdr:row>
      <xdr:rowOff>28825</xdr:rowOff>
    </xdr:to>
    <xdr:sp macro="[0]!Deconnecter" textlink="">
      <xdr:nvSpPr>
        <xdr:cNvPr id="3" name="ArreterFonction"/>
        <xdr:cNvSpPr/>
      </xdr:nvSpPr>
      <xdr:spPr>
        <a:xfrm>
          <a:off x="2349500" y="3298825"/>
          <a:ext cx="2160000" cy="5400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Arrêter</a:t>
          </a:r>
          <a:r>
            <a:rPr lang="fr-FR" sz="1600" baseline="0"/>
            <a:t> la fonction</a:t>
          </a:r>
          <a:endParaRPr lang="fr-FR" sz="1600"/>
        </a:p>
      </xdr:txBody>
    </xdr:sp>
    <xdr:clientData/>
  </xdr:twoCellAnchor>
  <xdr:twoCellAnchor>
    <xdr:from>
      <xdr:col>6</xdr:col>
      <xdr:colOff>571500</xdr:colOff>
      <xdr:row>22</xdr:row>
      <xdr:rowOff>12700</xdr:rowOff>
    </xdr:from>
    <xdr:to>
      <xdr:col>9</xdr:col>
      <xdr:colOff>255000</xdr:colOff>
      <xdr:row>24</xdr:row>
      <xdr:rowOff>171700</xdr:rowOff>
    </xdr:to>
    <xdr:sp macro="[0]!EnrClients" textlink="">
      <xdr:nvSpPr>
        <xdr:cNvPr id="5" name="GererClients"/>
        <xdr:cNvSpPr/>
      </xdr:nvSpPr>
      <xdr:spPr>
        <a:xfrm>
          <a:off x="5524500" y="42037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 baseline="0"/>
            <a:t>Ajouter des clients</a:t>
          </a:r>
        </a:p>
      </xdr:txBody>
    </xdr:sp>
    <xdr:clientData/>
  </xdr:twoCellAnchor>
  <xdr:twoCellAnchor>
    <xdr:from>
      <xdr:col>2</xdr:col>
      <xdr:colOff>698500</xdr:colOff>
      <xdr:row>22</xdr:row>
      <xdr:rowOff>120650</xdr:rowOff>
    </xdr:from>
    <xdr:to>
      <xdr:col>5</xdr:col>
      <xdr:colOff>382000</xdr:colOff>
      <xdr:row>25</xdr:row>
      <xdr:rowOff>89150</xdr:rowOff>
    </xdr:to>
    <xdr:sp macro="[0]!EnrVentes" textlink="">
      <xdr:nvSpPr>
        <xdr:cNvPr id="7" name="EnregistrerVentes"/>
        <xdr:cNvSpPr/>
      </xdr:nvSpPr>
      <xdr:spPr>
        <a:xfrm>
          <a:off x="2349500" y="431165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 baseline="0"/>
            <a:t>Ajouter des ventes</a:t>
          </a:r>
        </a:p>
      </xdr:txBody>
    </xdr:sp>
    <xdr:clientData/>
  </xdr:twoCellAnchor>
  <xdr:twoCellAnchor>
    <xdr:from>
      <xdr:col>13</xdr:col>
      <xdr:colOff>330200</xdr:colOff>
      <xdr:row>22</xdr:row>
      <xdr:rowOff>0</xdr:rowOff>
    </xdr:from>
    <xdr:to>
      <xdr:col>16</xdr:col>
      <xdr:colOff>13700</xdr:colOff>
      <xdr:row>24</xdr:row>
      <xdr:rowOff>159000</xdr:rowOff>
    </xdr:to>
    <xdr:sp macro="[0]!EditFacture" textlink="">
      <xdr:nvSpPr>
        <xdr:cNvPr id="6" name="EditerFacture"/>
        <xdr:cNvSpPr/>
      </xdr:nvSpPr>
      <xdr:spPr>
        <a:xfrm>
          <a:off x="11061700" y="41910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 baseline="0"/>
            <a:t>Editer les factures du mois</a:t>
          </a:r>
          <a:endParaRPr lang="fr-FR" sz="1600"/>
        </a:p>
      </xdr:txBody>
    </xdr:sp>
    <xdr:clientData/>
  </xdr:twoCellAnchor>
  <xdr:twoCellAnchor>
    <xdr:from>
      <xdr:col>2</xdr:col>
      <xdr:colOff>698500</xdr:colOff>
      <xdr:row>33</xdr:row>
      <xdr:rowOff>50800</xdr:rowOff>
    </xdr:from>
    <xdr:to>
      <xdr:col>5</xdr:col>
      <xdr:colOff>382000</xdr:colOff>
      <xdr:row>36</xdr:row>
      <xdr:rowOff>19300</xdr:rowOff>
    </xdr:to>
    <xdr:sp macro="[0]!SupVentes" textlink="">
      <xdr:nvSpPr>
        <xdr:cNvPr id="8" name="SupVentes"/>
        <xdr:cNvSpPr/>
      </xdr:nvSpPr>
      <xdr:spPr>
        <a:xfrm>
          <a:off x="2349500" y="63373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Supprimer</a:t>
          </a:r>
          <a:r>
            <a:rPr lang="fr-FR" sz="1600" baseline="0"/>
            <a:t> des ventes</a:t>
          </a:r>
          <a:endParaRPr lang="fr-FR" sz="1600"/>
        </a:p>
      </xdr:txBody>
    </xdr:sp>
    <xdr:clientData/>
  </xdr:twoCellAnchor>
  <xdr:twoCellAnchor>
    <xdr:from>
      <xdr:col>2</xdr:col>
      <xdr:colOff>698500</xdr:colOff>
      <xdr:row>27</xdr:row>
      <xdr:rowOff>180975</xdr:rowOff>
    </xdr:from>
    <xdr:to>
      <xdr:col>5</xdr:col>
      <xdr:colOff>382000</xdr:colOff>
      <xdr:row>30</xdr:row>
      <xdr:rowOff>149475</xdr:rowOff>
    </xdr:to>
    <xdr:sp macro="[0]!ModifVentes" textlink="">
      <xdr:nvSpPr>
        <xdr:cNvPr id="9" name="ModifVentes"/>
        <xdr:cNvSpPr/>
      </xdr:nvSpPr>
      <xdr:spPr>
        <a:xfrm>
          <a:off x="2349500" y="5324475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Modifier</a:t>
          </a:r>
          <a:r>
            <a:rPr lang="fr-FR" sz="1600" baseline="0"/>
            <a:t> des ventes</a:t>
          </a:r>
          <a:endParaRPr lang="fr-FR" sz="1600"/>
        </a:p>
      </xdr:txBody>
    </xdr:sp>
    <xdr:clientData/>
  </xdr:twoCellAnchor>
  <xdr:twoCellAnchor>
    <xdr:from>
      <xdr:col>6</xdr:col>
      <xdr:colOff>571500</xdr:colOff>
      <xdr:row>27</xdr:row>
      <xdr:rowOff>50800</xdr:rowOff>
    </xdr:from>
    <xdr:to>
      <xdr:col>9</xdr:col>
      <xdr:colOff>255000</xdr:colOff>
      <xdr:row>30</xdr:row>
      <xdr:rowOff>19300</xdr:rowOff>
    </xdr:to>
    <xdr:sp macro="[0]!ModifClients" textlink="">
      <xdr:nvSpPr>
        <xdr:cNvPr id="10" name="ModifClients"/>
        <xdr:cNvSpPr/>
      </xdr:nvSpPr>
      <xdr:spPr>
        <a:xfrm>
          <a:off x="5524500" y="51943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Modifier</a:t>
          </a:r>
          <a:r>
            <a:rPr lang="fr-FR" sz="1600" baseline="0"/>
            <a:t> des clients</a:t>
          </a:r>
          <a:endParaRPr lang="fr-FR" sz="1600"/>
        </a:p>
      </xdr:txBody>
    </xdr:sp>
    <xdr:clientData/>
  </xdr:twoCellAnchor>
  <xdr:twoCellAnchor>
    <xdr:from>
      <xdr:col>6</xdr:col>
      <xdr:colOff>508000</xdr:colOff>
      <xdr:row>33</xdr:row>
      <xdr:rowOff>114300</xdr:rowOff>
    </xdr:from>
    <xdr:to>
      <xdr:col>9</xdr:col>
      <xdr:colOff>191500</xdr:colOff>
      <xdr:row>36</xdr:row>
      <xdr:rowOff>82800</xdr:rowOff>
    </xdr:to>
    <xdr:sp macro="[0]!SupClients" textlink="">
      <xdr:nvSpPr>
        <xdr:cNvPr id="11" name="SupClients"/>
        <xdr:cNvSpPr/>
      </xdr:nvSpPr>
      <xdr:spPr>
        <a:xfrm>
          <a:off x="5461000" y="64008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Supprimer</a:t>
          </a:r>
          <a:r>
            <a:rPr lang="fr-FR" sz="1600" baseline="0"/>
            <a:t> des clients</a:t>
          </a:r>
          <a:endParaRPr lang="fr-FR" sz="1600"/>
        </a:p>
      </xdr:txBody>
    </xdr:sp>
    <xdr:clientData/>
  </xdr:twoCellAnchor>
  <xdr:twoCellAnchor>
    <xdr:from>
      <xdr:col>13</xdr:col>
      <xdr:colOff>368300</xdr:colOff>
      <xdr:row>27</xdr:row>
      <xdr:rowOff>101600</xdr:rowOff>
    </xdr:from>
    <xdr:to>
      <xdr:col>16</xdr:col>
      <xdr:colOff>51800</xdr:colOff>
      <xdr:row>30</xdr:row>
      <xdr:rowOff>70100</xdr:rowOff>
    </xdr:to>
    <xdr:sp macro="[0]!ReeditFacture" textlink="">
      <xdr:nvSpPr>
        <xdr:cNvPr id="13" name="ReediterFacture"/>
        <xdr:cNvSpPr/>
      </xdr:nvSpPr>
      <xdr:spPr>
        <a:xfrm>
          <a:off x="11099800" y="52451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 baseline="0"/>
            <a:t>Ré-éditer une facture</a:t>
          </a:r>
          <a:endParaRPr lang="fr-FR" sz="1600"/>
        </a:p>
      </xdr:txBody>
    </xdr:sp>
    <xdr:clientData/>
  </xdr:twoCellAnchor>
  <xdr:twoCellAnchor>
    <xdr:from>
      <xdr:col>2</xdr:col>
      <xdr:colOff>749300</xdr:colOff>
      <xdr:row>38</xdr:row>
      <xdr:rowOff>177800</xdr:rowOff>
    </xdr:from>
    <xdr:to>
      <xdr:col>5</xdr:col>
      <xdr:colOff>432800</xdr:colOff>
      <xdr:row>41</xdr:row>
      <xdr:rowOff>146300</xdr:rowOff>
    </xdr:to>
    <xdr:sp macro="[0]!ValidVentes" textlink="">
      <xdr:nvSpPr>
        <xdr:cNvPr id="12" name="ValidVentes"/>
        <xdr:cNvSpPr/>
      </xdr:nvSpPr>
      <xdr:spPr>
        <a:xfrm>
          <a:off x="2400300" y="74168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Valider</a:t>
          </a:r>
          <a:r>
            <a:rPr lang="fr-FR" sz="1600" baseline="0"/>
            <a:t> les ventes du mois</a:t>
          </a:r>
          <a:endParaRPr lang="fr-FR" sz="1600"/>
        </a:p>
      </xdr:txBody>
    </xdr:sp>
    <xdr:clientData/>
  </xdr:twoCellAnchor>
  <xdr:twoCellAnchor>
    <xdr:from>
      <xdr:col>10</xdr:col>
      <xdr:colOff>12700</xdr:colOff>
      <xdr:row>22</xdr:row>
      <xdr:rowOff>12700</xdr:rowOff>
    </xdr:from>
    <xdr:to>
      <xdr:col>12</xdr:col>
      <xdr:colOff>521700</xdr:colOff>
      <xdr:row>24</xdr:row>
      <xdr:rowOff>171700</xdr:rowOff>
    </xdr:to>
    <xdr:sp macro="[0]!EnrObjets" textlink="">
      <xdr:nvSpPr>
        <xdr:cNvPr id="14" name="AjoutObjet"/>
        <xdr:cNvSpPr/>
      </xdr:nvSpPr>
      <xdr:spPr>
        <a:xfrm>
          <a:off x="8267700" y="42037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Ajouter</a:t>
          </a:r>
          <a:r>
            <a:rPr lang="fr-FR" sz="1600" baseline="0"/>
            <a:t> des objets</a:t>
          </a:r>
          <a:endParaRPr lang="fr-FR" sz="1600"/>
        </a:p>
      </xdr:txBody>
    </xdr:sp>
    <xdr:clientData/>
  </xdr:twoCellAnchor>
  <xdr:twoCellAnchor>
    <xdr:from>
      <xdr:col>10</xdr:col>
      <xdr:colOff>63500</xdr:colOff>
      <xdr:row>27</xdr:row>
      <xdr:rowOff>88900</xdr:rowOff>
    </xdr:from>
    <xdr:to>
      <xdr:col>12</xdr:col>
      <xdr:colOff>572500</xdr:colOff>
      <xdr:row>30</xdr:row>
      <xdr:rowOff>57400</xdr:rowOff>
    </xdr:to>
    <xdr:sp macro="[0]!ModifObjets" textlink="">
      <xdr:nvSpPr>
        <xdr:cNvPr id="15" name="ModifObjet"/>
        <xdr:cNvSpPr/>
      </xdr:nvSpPr>
      <xdr:spPr>
        <a:xfrm>
          <a:off x="8318500" y="52324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Modifier</a:t>
          </a:r>
          <a:r>
            <a:rPr lang="fr-FR" sz="1600" baseline="0"/>
            <a:t> des objets</a:t>
          </a:r>
          <a:endParaRPr lang="fr-FR" sz="1600"/>
        </a:p>
      </xdr:txBody>
    </xdr:sp>
    <xdr:clientData/>
  </xdr:twoCellAnchor>
  <xdr:twoCellAnchor>
    <xdr:from>
      <xdr:col>10</xdr:col>
      <xdr:colOff>25400</xdr:colOff>
      <xdr:row>33</xdr:row>
      <xdr:rowOff>114300</xdr:rowOff>
    </xdr:from>
    <xdr:to>
      <xdr:col>12</xdr:col>
      <xdr:colOff>534400</xdr:colOff>
      <xdr:row>36</xdr:row>
      <xdr:rowOff>82800</xdr:rowOff>
    </xdr:to>
    <xdr:sp macro="[0]!SupObjets" textlink="">
      <xdr:nvSpPr>
        <xdr:cNvPr id="16" name="SupObjet"/>
        <xdr:cNvSpPr/>
      </xdr:nvSpPr>
      <xdr:spPr>
        <a:xfrm>
          <a:off x="8280400" y="64008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Supprimer</a:t>
          </a:r>
          <a:r>
            <a:rPr lang="fr-FR" sz="1600" baseline="0"/>
            <a:t> des objets</a:t>
          </a:r>
          <a:endParaRPr lang="fr-FR" sz="1600"/>
        </a:p>
      </xdr:txBody>
    </xdr:sp>
    <xdr:clientData/>
  </xdr:twoCellAnchor>
  <xdr:twoCellAnchor>
    <xdr:from>
      <xdr:col>6</xdr:col>
      <xdr:colOff>482600</xdr:colOff>
      <xdr:row>38</xdr:row>
      <xdr:rowOff>165100</xdr:rowOff>
    </xdr:from>
    <xdr:to>
      <xdr:col>9</xdr:col>
      <xdr:colOff>166100</xdr:colOff>
      <xdr:row>41</xdr:row>
      <xdr:rowOff>133600</xdr:rowOff>
    </xdr:to>
    <xdr:sp macro="[0]!MajMail" textlink="">
      <xdr:nvSpPr>
        <xdr:cNvPr id="17" name="MajMails"/>
        <xdr:cNvSpPr/>
      </xdr:nvSpPr>
      <xdr:spPr>
        <a:xfrm>
          <a:off x="5435600" y="74041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Mise</a:t>
          </a:r>
          <a:r>
            <a:rPr lang="fr-FR" sz="1600" baseline="0"/>
            <a:t> à jour Mails</a:t>
          </a:r>
          <a:endParaRPr lang="fr-FR" sz="1600"/>
        </a:p>
      </xdr:txBody>
    </xdr:sp>
    <xdr:clientData/>
  </xdr:twoCellAnchor>
  <xdr:twoCellAnchor>
    <xdr:from>
      <xdr:col>16</xdr:col>
      <xdr:colOff>774700</xdr:colOff>
      <xdr:row>22</xdr:row>
      <xdr:rowOff>38100</xdr:rowOff>
    </xdr:from>
    <xdr:to>
      <xdr:col>19</xdr:col>
      <xdr:colOff>458200</xdr:colOff>
      <xdr:row>25</xdr:row>
      <xdr:rowOff>6600</xdr:rowOff>
    </xdr:to>
    <xdr:sp macro="[0]!Enregistrer_signature" textlink="">
      <xdr:nvSpPr>
        <xdr:cNvPr id="18" name="EnrSignature"/>
        <xdr:cNvSpPr/>
      </xdr:nvSpPr>
      <xdr:spPr>
        <a:xfrm>
          <a:off x="13982700" y="42291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Enregistrer</a:t>
          </a:r>
          <a:r>
            <a:rPr lang="fr-FR" sz="1600" baseline="0"/>
            <a:t> Signature</a:t>
          </a:r>
          <a:endParaRPr lang="fr-FR" sz="1600"/>
        </a:p>
      </xdr:txBody>
    </xdr:sp>
    <xdr:clientData/>
  </xdr:twoCellAnchor>
  <xdr:twoCellAnchor>
    <xdr:from>
      <xdr:col>16</xdr:col>
      <xdr:colOff>787400</xdr:colOff>
      <xdr:row>27</xdr:row>
      <xdr:rowOff>88900</xdr:rowOff>
    </xdr:from>
    <xdr:to>
      <xdr:col>19</xdr:col>
      <xdr:colOff>470900</xdr:colOff>
      <xdr:row>30</xdr:row>
      <xdr:rowOff>57400</xdr:rowOff>
    </xdr:to>
    <xdr:sp macro="[0]!AjoutPaiements" textlink="">
      <xdr:nvSpPr>
        <xdr:cNvPr id="19" name="AjoutPaiements"/>
        <xdr:cNvSpPr/>
      </xdr:nvSpPr>
      <xdr:spPr>
        <a:xfrm>
          <a:off x="13995400" y="52324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 baseline="0"/>
            <a:t>Ajouter des paiements</a:t>
          </a:r>
          <a:endParaRPr lang="fr-FR" sz="1600"/>
        </a:p>
      </xdr:txBody>
    </xdr:sp>
    <xdr:clientData/>
  </xdr:twoCellAnchor>
  <xdr:twoCellAnchor>
    <xdr:from>
      <xdr:col>16</xdr:col>
      <xdr:colOff>774700</xdr:colOff>
      <xdr:row>33</xdr:row>
      <xdr:rowOff>50800</xdr:rowOff>
    </xdr:from>
    <xdr:to>
      <xdr:col>19</xdr:col>
      <xdr:colOff>458200</xdr:colOff>
      <xdr:row>36</xdr:row>
      <xdr:rowOff>19300</xdr:rowOff>
    </xdr:to>
    <xdr:sp macro="[0]!ModifPaiements" textlink="">
      <xdr:nvSpPr>
        <xdr:cNvPr id="21" name="ModifPaiements"/>
        <xdr:cNvSpPr/>
      </xdr:nvSpPr>
      <xdr:spPr>
        <a:xfrm>
          <a:off x="13982700" y="63373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Modifier des</a:t>
          </a:r>
          <a:r>
            <a:rPr lang="fr-FR" sz="1600" baseline="0"/>
            <a:t> paiements</a:t>
          </a:r>
          <a:endParaRPr lang="fr-FR" sz="1600"/>
        </a:p>
      </xdr:txBody>
    </xdr:sp>
    <xdr:clientData/>
  </xdr:twoCellAnchor>
  <xdr:twoCellAnchor>
    <xdr:from>
      <xdr:col>17</xdr:col>
      <xdr:colOff>0</xdr:colOff>
      <xdr:row>39</xdr:row>
      <xdr:rowOff>0</xdr:rowOff>
    </xdr:from>
    <xdr:to>
      <xdr:col>19</xdr:col>
      <xdr:colOff>509000</xdr:colOff>
      <xdr:row>41</xdr:row>
      <xdr:rowOff>159000</xdr:rowOff>
    </xdr:to>
    <xdr:sp macro="[0]!SupPaiements" textlink="">
      <xdr:nvSpPr>
        <xdr:cNvPr id="22" name="SupPaiements"/>
        <xdr:cNvSpPr/>
      </xdr:nvSpPr>
      <xdr:spPr>
        <a:xfrm>
          <a:off x="14033500" y="74295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Supprimer</a:t>
          </a:r>
          <a:r>
            <a:rPr lang="fr-FR" sz="1600" baseline="0"/>
            <a:t> des paiements</a:t>
          </a:r>
          <a:endParaRPr lang="fr-FR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14</xdr:row>
      <xdr:rowOff>101600</xdr:rowOff>
    </xdr:from>
    <xdr:to>
      <xdr:col>2</xdr:col>
      <xdr:colOff>674100</xdr:colOff>
      <xdr:row>17</xdr:row>
      <xdr:rowOff>70100</xdr:rowOff>
    </xdr:to>
    <xdr:sp macro="[0]!Deconnecter" textlink="">
      <xdr:nvSpPr>
        <xdr:cNvPr id="3" name="BoutonModèle"/>
        <xdr:cNvSpPr/>
      </xdr:nvSpPr>
      <xdr:spPr>
        <a:xfrm>
          <a:off x="165100" y="2768600"/>
          <a:ext cx="2160000" cy="54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600"/>
            <a:t>Bouton Modèle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63500</xdr:colOff>
      <xdr:row>5</xdr:row>
      <xdr:rowOff>165100</xdr:rowOff>
    </xdr:to>
    <xdr:pic>
      <xdr:nvPicPr>
        <xdr:cNvPr id="10" name="Signature" descr="Signature2.png"/>
        <xdr:cNvPicPr>
          <a:picLocks/>
        </xdr:cNvPicPr>
      </xdr:nvPicPr>
      <xdr:blipFill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40000" cy="1117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_clients" displayName="_clients" ref="A1:O134" totalsRowCount="1" headerRowDxfId="117" dataDxfId="116" headerRowCellStyle="Normal 2" dataCellStyle="Normal 2">
  <sortState ref="A2:O134">
    <sortCondition ref="A1:A135"/>
  </sortState>
  <tableColumns count="15">
    <tableColumn id="1" name="Abrg_Client" totalsRowLabel="Total" dataDxfId="115" totalsRowDxfId="114" dataCellStyle="Normal 2"/>
    <tableColumn id="2" name="Client" dataDxfId="113" totalsRowDxfId="112" dataCellStyle="Normal 2"/>
    <tableColumn id="15" name="Mail" dataDxfId="111" totalsRowDxfId="110" dataCellStyle="Normal 2"/>
    <tableColumn id="3" name="1" totalsRowFunction="max" dataDxfId="109" totalsRowDxfId="108" dataCellStyle="Normal 2"/>
    <tableColumn id="4" name="2" totalsRowFunction="max" dataDxfId="107" totalsRowDxfId="106" dataCellStyle="Normal 2"/>
    <tableColumn id="5" name="3" totalsRowFunction="max" dataDxfId="105" totalsRowDxfId="104" dataCellStyle="Normal 2"/>
    <tableColumn id="6" name="4" totalsRowFunction="max" dataDxfId="103" totalsRowDxfId="102" dataCellStyle="Normal 2"/>
    <tableColumn id="7" name="5" totalsRowFunction="max" dataDxfId="101" totalsRowDxfId="100" dataCellStyle="Normal 2"/>
    <tableColumn id="8" name="6" totalsRowFunction="max" dataDxfId="99" totalsRowDxfId="98" dataCellStyle="Normal 2"/>
    <tableColumn id="9" name="7" totalsRowFunction="max" dataDxfId="97" totalsRowDxfId="96" dataCellStyle="Normal 2"/>
    <tableColumn id="10" name="8" totalsRowFunction="max" dataDxfId="95" totalsRowDxfId="94" dataCellStyle="Normal 2"/>
    <tableColumn id="11" name="9" totalsRowFunction="max" dataDxfId="93" totalsRowDxfId="92" dataCellStyle="Normal 2"/>
    <tableColumn id="12" name="10" totalsRowFunction="max" dataDxfId="91" totalsRowDxfId="90" dataCellStyle="Normal 2"/>
    <tableColumn id="13" name="11" totalsRowFunction="max" dataDxfId="89" totalsRowDxfId="88" dataCellStyle="Normal 2"/>
    <tableColumn id="14" name="12" totalsRowFunction="max" dataDxfId="87" totalsRowDxfId="86" dataCellStyle="Normal 2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1" name="_objets" displayName="_objets" ref="A1:B24" headerRowDxfId="85" dataDxfId="84" headerRowCellStyle="Normal 2" dataCellStyle="Normal 2">
  <sortState ref="A2:B26">
    <sortCondition ref="A1:A26"/>
  </sortState>
  <tableColumns count="2">
    <tableColumn id="1" name="Objet" totalsRowLabel="Total" dataDxfId="83" totalsRowDxfId="82" dataCellStyle="Normal 2"/>
    <tableColumn id="2" name="Prix_Unitaire" totalsRowFunction="sum" dataDxfId="81" totalsRowDxfId="80" dataCellStyle="Normal 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5" name="_mois" displayName="_mois" ref="E1:F13" totalsRowShown="0">
  <tableColumns count="2">
    <tableColumn id="1" name="NumMois"/>
    <tableColumn id="2" name="Mois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3" name="_ventes" displayName="_ventes" ref="A1:H4" headerRowDxfId="76">
  <sortState ref="A2:H4">
    <sortCondition ref="A1:A4"/>
  </sortState>
  <tableColumns count="8">
    <tableColumn id="1" name="datevente" totalsRowLabel="Total" dataDxfId="75" totalsRowDxfId="74"/>
    <tableColumn id="2" name="mois" dataDxfId="73" totalsRowDxfId="72"/>
    <tableColumn id="3" name="ClientAbrégé" dataDxfId="71" totalsRowDxfId="70"/>
    <tableColumn id="8" name="Client" dataDxfId="69" totalsRowDxfId="68"/>
    <tableColumn id="4" name="Objetvendu" dataDxfId="67" totalsRowDxfId="66"/>
    <tableColumn id="5" name="quantité" dataDxfId="65" totalsRowDxfId="64"/>
    <tableColumn id="6" name="prixunit" dataDxfId="63" totalsRowDxfId="62"/>
    <tableColumn id="7" name="Prixvendu" totalsRowFunction="sum" dataDxfId="61" totalsRowDxfId="6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_objetsVendus" displayName="_objetsVendus" ref="A63:E65" insertRow="1" totalsRowCount="1" headerRowDxfId="58" dataDxfId="56" totalsRowDxfId="55" headerRowBorderDxfId="57" totalsRowBorderDxfId="54">
  <tableColumns count="5">
    <tableColumn id="1" name="Date de vente" totalsRowLabel="Total" dataDxfId="53" totalsRowDxfId="52"/>
    <tableColumn id="2" name="Objet vendu" totalsRowLabel=" " dataDxfId="51" totalsRowDxfId="50"/>
    <tableColumn id="3" name="Prix Unitaire" dataDxfId="49" totalsRowDxfId="48"/>
    <tableColumn id="4" name="Quantité" dataDxfId="47" totalsRowDxfId="46"/>
    <tableColumn id="5" name="Total Vente" totalsRowFunction="sum" dataDxfId="45" totalsRowDxfId="44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6" name="_suiviFactures" displayName="_suiviFactures" ref="A1:J5" totalsRowCount="1">
  <sortState ref="A2:J4">
    <sortCondition ref="A1:A5"/>
  </sortState>
  <tableColumns count="10">
    <tableColumn id="1" name="Num Facture" totalsRowLabel="Total" dataDxfId="40" totalsRowDxfId="39" dataCellStyle="Normal 2"/>
    <tableColumn id="2" name="Client" dataDxfId="38" totalsRowDxfId="37" dataCellStyle="Normal 2"/>
    <tableColumn id="3" name="Date facture" dataDxfId="36" totalsRowDxfId="35" dataCellStyle="Normal 2"/>
    <tableColumn id="4" name="Date échéance" dataDxfId="34" totalsRowDxfId="33" dataCellStyle="Normal 2"/>
    <tableColumn id="11" name="Date Arreté" dataDxfId="32" totalsRowDxfId="31" dataCellStyle="Normal 2"/>
    <tableColumn id="5" name="Montant" totalsRowFunction="sum" dataDxfId="30" totalsRowDxfId="29" dataCellStyle="Normal 2"/>
    <tableColumn id="10" name="Virement" dataDxfId="28" totalsRowDxfId="27" dataCellStyle="Normal 2"/>
    <tableColumn id="6" name="Espèce" dataDxfId="26" totalsRowDxfId="25" dataCellStyle="Normal 2"/>
    <tableColumn id="7" name="Chèque" dataDxfId="24" totalsRowDxfId="23" dataCellStyle="Normal 2"/>
    <tableColumn id="8" name="Date paiement" dataDxfId="22" totalsRowDxfId="21" dataCellStyle="Normal 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1" name="_MessagesWrbOpen" displayName="_MessagesWrbOpen" ref="A5:B19" totalsRowShown="0" headerRowDxfId="20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id="12" name="_MessagesEditFactures" displayName="_MessagesEditFactures" ref="A87:B93" totalsRowShown="0" headerRowDxfId="19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9.xml><?xml version="1.0" encoding="utf-8"?>
<table xmlns="http://schemas.openxmlformats.org/spreadsheetml/2006/main" id="13" name="_MessagesReEditFacture" displayName="_MessagesReEditFacture" ref="D86:E92" totalsRowShown="0" headerRowDxfId="18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0.xml><?xml version="1.0" encoding="utf-8"?>
<table xmlns="http://schemas.openxmlformats.org/spreadsheetml/2006/main" id="14" name="_MessagesAjoutClients" displayName="_MessagesAjoutClients" ref="D25:E29" totalsRowShown="0" headerRowDxfId="17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1.xml><?xml version="1.0" encoding="utf-8"?>
<table xmlns="http://schemas.openxmlformats.org/spreadsheetml/2006/main" id="15" name="_MessagesAjoutVentes" displayName="_MessagesAjoutVentes" ref="G25:H36" totalsRowShown="0" headerRowDxfId="16">
  <tableColumns count="2">
    <tableColumn id="1" name="Numéro" dataDxfId="15"/>
    <tableColumn id="2" name="Message"/>
  </tableColumns>
  <tableStyleInfo name="TableStyleMedium17" showFirstColumn="0" showLastColumn="0" showRowStripes="1" showColumnStripes="0"/>
</table>
</file>

<file path=xl/tables/table12.xml><?xml version="1.0" encoding="utf-8"?>
<table xmlns="http://schemas.openxmlformats.org/spreadsheetml/2006/main" id="16" name="_MessagesmodifClients" displayName="_MessagesmodifClients" ref="D40:E49" totalsRowShown="0" headerRowDxfId="14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3.xml><?xml version="1.0" encoding="utf-8"?>
<table xmlns="http://schemas.openxmlformats.org/spreadsheetml/2006/main" id="18" name="_MessagesModifVentes" displayName="_MessagesModifVentes" ref="G42:H55" totalsRowShown="0" headerRowDxfId="13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4.xml><?xml version="1.0" encoding="utf-8"?>
<table xmlns="http://schemas.openxmlformats.org/spreadsheetml/2006/main" id="19" name="_MessagesSupClients" displayName="_MessagesSupClients" ref="D58:E64" totalsRowShown="0" headerRowDxfId="12">
  <sortState ref="D51:E54">
    <sortCondition ref="D51:D54"/>
  </sortState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5.xml><?xml version="1.0" encoding="utf-8"?>
<table xmlns="http://schemas.openxmlformats.org/spreadsheetml/2006/main" id="20" name="_MessagesSupVentes" displayName="_MessagesSupVentes" ref="G60:H68" totalsRowShown="0" headerRowDxfId="11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6.xml><?xml version="1.0" encoding="utf-8"?>
<table xmlns="http://schemas.openxmlformats.org/spreadsheetml/2006/main" id="21" name="_MessagesValidVentes" displayName="_MessagesValidVentes" ref="G73:H79" totalsRowShown="0" headerRowDxfId="10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id="22" name="_MessagesAjoutObjets" displayName="_MessagesAjoutObjets" ref="A26:B31" totalsRowShown="0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id="23" name="_MessagesModifObjets" displayName="_MessagesModifObjets" ref="A41:B50" totalsRowShown="0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id="24" name="_ItemsChoixFonction" displayName="_ItemsChoixFonction" ref="D5:E9" totalsRowShown="0" headerRowDxfId="9">
  <tableColumns count="2">
    <tableColumn id="1" name="Numéro"/>
    <tableColumn id="2" name="Item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id="25" name="_ShapesDeconnecter" displayName="_ShapesDeconnecter" ref="G5:H6" totalsRowShown="0" headerRowDxfId="8">
  <tableColumns count="2">
    <tableColumn id="1" name="Numéro"/>
    <tableColumn id="2" name="Shape"/>
  </tableColumns>
  <tableStyleInfo name="TableStyleMedium17" showFirstColumn="0" showLastColumn="0" showRowStripes="1" showColumnStripes="0"/>
</table>
</file>

<file path=xl/tables/table21.xml><?xml version="1.0" encoding="utf-8"?>
<table xmlns="http://schemas.openxmlformats.org/spreadsheetml/2006/main" id="26" name="_MessagesSupObjets" displayName="_MessagesSupObjets" ref="A59:B65" totalsRowShown="0" headerRowDxfId="7">
  <sortState ref="A51:B54">
    <sortCondition ref="A51:A54"/>
  </sortState>
  <tableColumns count="2">
    <tableColumn id="1" name="Numéro"/>
    <tableColumn id="2" name="Message" dataDxfId="6"/>
  </tableColumns>
  <tableStyleInfo name="TableStyleMedium17" showFirstColumn="0" showLastColumn="0" showRowStripes="1" showColumnStripes="0"/>
</table>
</file>

<file path=xl/tables/table22.xml><?xml version="1.0" encoding="utf-8"?>
<table xmlns="http://schemas.openxmlformats.org/spreadsheetml/2006/main" id="7" name="_MessagesModifMails" displayName="_MessagesModifMails" ref="D71:E77" totalsRowShown="0">
  <tableColumns count="2">
    <tableColumn id="1" name="Numéro"/>
    <tableColumn id="2" name="Message"/>
  </tableColumns>
  <tableStyleInfo name="TableStyleMedium17" showFirstColumn="0" showLastColumn="0" showRowStripes="1" showColumnStripes="0"/>
</table>
</file>

<file path=xl/tables/table23.xml><?xml version="1.0" encoding="utf-8"?>
<table xmlns="http://schemas.openxmlformats.org/spreadsheetml/2006/main" id="8" name="_MessagesAjoutPaiements" displayName="_MessagesAjoutPaiements" ref="A101:B107" totalsRowShown="0" headerRowDxfId="5">
  <tableColumns count="2">
    <tableColumn id="1" name="Numéro" dataDxfId="4"/>
    <tableColumn id="2" name="Message"/>
  </tableColumns>
  <tableStyleInfo name="TableStyleMedium17" showFirstColumn="0" showLastColumn="0" showRowStripes="1" showColumnStripes="0"/>
</table>
</file>

<file path=xl/tables/table24.xml><?xml version="1.0" encoding="utf-8"?>
<table xmlns="http://schemas.openxmlformats.org/spreadsheetml/2006/main" id="9" name="_MessagesModifPaiements" displayName="_MessagesModifPaiements" ref="D100:E108" totalsRowShown="0" headerRowDxfId="3">
  <tableColumns count="2">
    <tableColumn id="1" name="Numéro" dataDxfId="2"/>
    <tableColumn id="2" name="Message"/>
  </tableColumns>
  <tableStyleInfo name="TableStyleMedium17" showFirstColumn="0" showLastColumn="0" showRowStripes="1" showColumnStripes="0"/>
</table>
</file>

<file path=xl/tables/table25.xml><?xml version="1.0" encoding="utf-8"?>
<table xmlns="http://schemas.openxmlformats.org/spreadsheetml/2006/main" id="10" name="_MessagesSupPaiements" displayName="_MessagesSupPaiements" ref="G102:H110" totalsRowShown="0" headerRowDxfId="1">
  <tableColumns count="2">
    <tableColumn id="1" name="Numéro" dataDxfId="0"/>
    <tableColumn id="2" name="Message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1" Type="http://schemas.openxmlformats.org/officeDocument/2006/relationships/table" Target="../tables/table17.xml"/><Relationship Id="rId12" Type="http://schemas.openxmlformats.org/officeDocument/2006/relationships/table" Target="../tables/table18.xml"/><Relationship Id="rId13" Type="http://schemas.openxmlformats.org/officeDocument/2006/relationships/table" Target="../tables/table19.xml"/><Relationship Id="rId14" Type="http://schemas.openxmlformats.org/officeDocument/2006/relationships/table" Target="../tables/table20.xml"/><Relationship Id="rId15" Type="http://schemas.openxmlformats.org/officeDocument/2006/relationships/table" Target="../tables/table21.xml"/><Relationship Id="rId16" Type="http://schemas.openxmlformats.org/officeDocument/2006/relationships/table" Target="../tables/table22.xml"/><Relationship Id="rId17" Type="http://schemas.openxmlformats.org/officeDocument/2006/relationships/table" Target="../tables/table23.xml"/><Relationship Id="rId18" Type="http://schemas.openxmlformats.org/officeDocument/2006/relationships/table" Target="../tables/table24.xml"/><Relationship Id="rId19" Type="http://schemas.openxmlformats.org/officeDocument/2006/relationships/table" Target="../tables/table25.xml"/><Relationship Id="rId1" Type="http://schemas.openxmlformats.org/officeDocument/2006/relationships/table" Target="../tables/table7.xml"/><Relationship Id="rId2" Type="http://schemas.openxmlformats.org/officeDocument/2006/relationships/table" Target="../tables/table8.xml"/><Relationship Id="rId3" Type="http://schemas.openxmlformats.org/officeDocument/2006/relationships/table" Target="../tables/table9.xml"/><Relationship Id="rId4" Type="http://schemas.openxmlformats.org/officeDocument/2006/relationships/table" Target="../tables/table10.xml"/><Relationship Id="rId5" Type="http://schemas.openxmlformats.org/officeDocument/2006/relationships/table" Target="../tables/table11.xml"/><Relationship Id="rId6" Type="http://schemas.openxmlformats.org/officeDocument/2006/relationships/table" Target="../tables/table12.xml"/><Relationship Id="rId7" Type="http://schemas.openxmlformats.org/officeDocument/2006/relationships/table" Target="../tables/table13.xml"/><Relationship Id="rId8" Type="http://schemas.openxmlformats.org/officeDocument/2006/relationships/table" Target="../tables/table14.xml"/><Relationship Id="rId9" Type="http://schemas.openxmlformats.org/officeDocument/2006/relationships/table" Target="../tables/table15.xml"/><Relationship Id="rId10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cueilFeuille" enableFormatConditionsCalculation="0"/>
  <dimension ref="B1:U28"/>
  <sheetViews>
    <sheetView showGridLines="0" showRowColHeaders="0" tabSelected="1" workbookViewId="0">
      <selection activeCell="C15" sqref="C15"/>
    </sheetView>
  </sheetViews>
  <sheetFormatPr baseColWidth="10" defaultRowHeight="15" x14ac:dyDescent="0"/>
  <cols>
    <col min="2" max="3" width="10.83203125" customWidth="1"/>
    <col min="6" max="6" width="10.83203125" customWidth="1"/>
    <col min="9" max="10" width="10.83203125" customWidth="1"/>
  </cols>
  <sheetData>
    <row r="1" spans="2:21" ht="15" customHeight="1"/>
    <row r="2" spans="2:21" ht="15" customHeight="1"/>
    <row r="3" spans="2:21" ht="28" customHeight="1">
      <c r="E3" s="201" t="s">
        <v>545</v>
      </c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2:21" ht="15" customHeight="1"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</row>
    <row r="5" spans="2:21" ht="15" customHeight="1"/>
    <row r="6" spans="2:21" ht="28" customHeight="1">
      <c r="E6" s="17"/>
      <c r="F6" s="204" t="s">
        <v>546</v>
      </c>
      <c r="G6" s="205"/>
      <c r="H6" s="205"/>
      <c r="I6" s="205"/>
      <c r="J6" s="199">
        <v>2022</v>
      </c>
      <c r="K6" s="199"/>
      <c r="L6" s="199"/>
      <c r="M6" s="199"/>
      <c r="N6" s="200"/>
      <c r="O6" s="20"/>
      <c r="Q6" s="11"/>
      <c r="R6" s="11"/>
      <c r="S6" s="11"/>
      <c r="T6" s="11"/>
      <c r="U6" s="11"/>
    </row>
    <row r="7" spans="2:21" ht="15" customHeight="1">
      <c r="E7" s="18"/>
      <c r="F7" s="22"/>
      <c r="G7" s="22"/>
      <c r="H7" s="22"/>
      <c r="I7" s="22"/>
      <c r="J7" s="23"/>
      <c r="K7" s="23"/>
      <c r="L7" s="23"/>
      <c r="M7" s="23"/>
      <c r="N7" s="23"/>
      <c r="O7" s="16"/>
      <c r="Q7" s="11"/>
      <c r="R7" s="11"/>
      <c r="S7" s="11"/>
      <c r="T7" s="11"/>
      <c r="U7" s="11"/>
    </row>
    <row r="8" spans="2:21" ht="28" customHeight="1">
      <c r="E8" s="19"/>
      <c r="F8" s="204" t="s">
        <v>547</v>
      </c>
      <c r="G8" s="205"/>
      <c r="H8" s="205"/>
      <c r="I8" s="205"/>
      <c r="J8" s="199" t="s">
        <v>548</v>
      </c>
      <c r="K8" s="199"/>
      <c r="L8" s="199"/>
      <c r="M8" s="199"/>
      <c r="N8" s="200"/>
      <c r="O8" s="20"/>
      <c r="Q8" s="11"/>
      <c r="R8" s="11"/>
      <c r="S8" s="11"/>
      <c r="T8" s="11"/>
      <c r="U8" s="11"/>
    </row>
    <row r="9" spans="2:21" ht="15" customHeight="1">
      <c r="B9" s="7"/>
      <c r="E9" s="18"/>
      <c r="F9" s="22"/>
      <c r="G9" s="22"/>
      <c r="H9" s="22"/>
      <c r="I9" s="22"/>
      <c r="J9" s="23"/>
      <c r="K9" s="23"/>
      <c r="L9" s="23"/>
      <c r="M9" s="23"/>
      <c r="N9" s="24"/>
      <c r="O9" s="16"/>
      <c r="Q9" s="197"/>
      <c r="R9" s="197"/>
      <c r="S9" s="197"/>
      <c r="T9" s="197"/>
      <c r="U9" s="197"/>
    </row>
    <row r="10" spans="2:21" ht="28" customHeight="1">
      <c r="E10" s="19"/>
      <c r="F10" s="206"/>
      <c r="G10" s="206"/>
      <c r="H10" s="206"/>
      <c r="I10" s="206"/>
      <c r="J10" s="207"/>
      <c r="K10" s="207"/>
      <c r="L10" s="207"/>
      <c r="M10" s="207"/>
      <c r="N10" s="207"/>
      <c r="O10" s="20"/>
      <c r="Q10" s="11"/>
      <c r="R10" s="11"/>
      <c r="S10" s="11"/>
      <c r="T10" s="11"/>
      <c r="U10" s="11"/>
    </row>
    <row r="11" spans="2:21" ht="15" customHeight="1">
      <c r="Q11" s="197"/>
      <c r="R11" s="197"/>
      <c r="S11" s="197"/>
      <c r="T11" s="197"/>
      <c r="U11" s="197"/>
    </row>
    <row r="12" spans="2:21" ht="15" customHeight="1">
      <c r="Q12" s="11"/>
      <c r="R12" s="11"/>
      <c r="S12" s="11"/>
      <c r="T12" s="11"/>
      <c r="U12" s="11"/>
    </row>
    <row r="13" spans="2:21" ht="15" customHeight="1">
      <c r="Q13" s="197"/>
      <c r="R13" s="197"/>
      <c r="S13" s="197"/>
      <c r="T13" s="197"/>
      <c r="U13" s="197"/>
    </row>
    <row r="14" spans="2:21" ht="15" customHeight="1">
      <c r="J14" s="160"/>
      <c r="Q14" s="11"/>
      <c r="R14" s="11"/>
      <c r="S14" s="11"/>
      <c r="T14" s="11"/>
      <c r="U14" s="11"/>
    </row>
    <row r="15" spans="2:21" ht="15" customHeight="1">
      <c r="B15" s="7"/>
      <c r="Q15" s="198"/>
      <c r="R15" s="198"/>
      <c r="S15" s="198"/>
      <c r="T15" s="198"/>
      <c r="U15" s="198"/>
    </row>
    <row r="16" spans="2:21" ht="15" customHeight="1">
      <c r="B16" s="7"/>
      <c r="Q16" s="11"/>
      <c r="R16" s="11"/>
      <c r="S16" s="11"/>
      <c r="T16" s="11"/>
      <c r="U16" s="11"/>
    </row>
    <row r="17" spans="2:21" ht="15" customHeight="1">
      <c r="B17" s="7"/>
      <c r="J17" s="160"/>
      <c r="Q17" s="11"/>
      <c r="R17" s="11"/>
      <c r="S17" s="11"/>
      <c r="T17" s="11"/>
      <c r="U17" s="11"/>
    </row>
    <row r="18" spans="2:21" ht="15" customHeight="1">
      <c r="B18" s="7"/>
      <c r="J18" s="160"/>
      <c r="Q18" s="11"/>
      <c r="R18" s="11"/>
      <c r="S18" s="11"/>
      <c r="T18" s="11"/>
      <c r="U18" s="11"/>
    </row>
    <row r="19" spans="2:21" ht="15" customHeight="1">
      <c r="R19" s="29"/>
    </row>
    <row r="20" spans="2:21" ht="15" customHeight="1"/>
    <row r="21" spans="2:21" ht="15" customHeight="1">
      <c r="B21" s="7"/>
      <c r="J21" s="15"/>
      <c r="Q21" t="s">
        <v>131</v>
      </c>
    </row>
    <row r="22" spans="2:21" ht="15" customHeight="1">
      <c r="B22" s="7"/>
    </row>
    <row r="23" spans="2:21" ht="15" customHeight="1"/>
    <row r="24" spans="2:21" ht="15" customHeight="1"/>
    <row r="25" spans="2:21" ht="15" customHeight="1"/>
    <row r="26" spans="2:21" ht="16">
      <c r="B26" s="7"/>
    </row>
    <row r="28" spans="2:21">
      <c r="B28" s="8"/>
      <c r="I28" s="159"/>
    </row>
  </sheetData>
  <mergeCells count="11">
    <mergeCell ref="E3:O3"/>
    <mergeCell ref="F6:I6"/>
    <mergeCell ref="F8:I8"/>
    <mergeCell ref="F10:I10"/>
    <mergeCell ref="J6:N6"/>
    <mergeCell ref="J10:N10"/>
    <mergeCell ref="Q13:U13"/>
    <mergeCell ref="Q15:U15"/>
    <mergeCell ref="J8:N8"/>
    <mergeCell ref="Q9:U9"/>
    <mergeCell ref="Q11:U11"/>
  </mergeCell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lientsFeuille" enableFormatConditionsCalculation="0"/>
  <dimension ref="A1:O134"/>
  <sheetViews>
    <sheetView topLeftCell="B2" workbookViewId="0">
      <selection activeCell="G14" sqref="G14"/>
    </sheetView>
  </sheetViews>
  <sheetFormatPr baseColWidth="10" defaultRowHeight="15" x14ac:dyDescent="0"/>
  <cols>
    <col min="1" max="1" width="20.1640625" style="6" bestFit="1" customWidth="1"/>
    <col min="2" max="2" width="26.33203125" style="6" bestFit="1" customWidth="1"/>
    <col min="3" max="3" width="26.33203125" style="149" customWidth="1"/>
  </cols>
  <sheetData>
    <row r="1" spans="1:15">
      <c r="A1" s="5" t="s">
        <v>22</v>
      </c>
      <c r="B1" s="5" t="s">
        <v>23</v>
      </c>
      <c r="C1" s="5" t="s">
        <v>105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  <c r="L1" s="5" t="s">
        <v>15</v>
      </c>
      <c r="M1" s="5" t="s">
        <v>16</v>
      </c>
      <c r="N1" s="5" t="s">
        <v>17</v>
      </c>
      <c r="O1" s="5" t="s">
        <v>18</v>
      </c>
    </row>
    <row r="2" spans="1:15">
      <c r="A2" s="150" t="s">
        <v>132</v>
      </c>
      <c r="B2" s="150" t="s">
        <v>130</v>
      </c>
      <c r="C2" s="151" t="s">
        <v>135</v>
      </c>
      <c r="D2" s="152">
        <v>1</v>
      </c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</row>
    <row r="3" spans="1:15">
      <c r="A3" s="150" t="s">
        <v>133</v>
      </c>
      <c r="B3" s="150" t="s">
        <v>19</v>
      </c>
      <c r="C3" s="151" t="s">
        <v>135</v>
      </c>
      <c r="D3" s="152">
        <v>2</v>
      </c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</row>
    <row r="4" spans="1:15">
      <c r="A4" s="150" t="s">
        <v>20</v>
      </c>
      <c r="B4" s="150" t="s">
        <v>21</v>
      </c>
      <c r="C4" s="151"/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</row>
    <row r="5" spans="1:15">
      <c r="A5" s="150" t="s">
        <v>136</v>
      </c>
      <c r="B5" s="150" t="s">
        <v>137</v>
      </c>
      <c r="C5" s="151" t="s">
        <v>135</v>
      </c>
      <c r="D5" s="152">
        <v>3</v>
      </c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</row>
    <row r="6" spans="1:15">
      <c r="A6" s="150" t="s">
        <v>506</v>
      </c>
      <c r="B6" s="150" t="s">
        <v>507</v>
      </c>
      <c r="C6" s="151" t="s">
        <v>134</v>
      </c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</row>
    <row r="7" spans="1:15">
      <c r="A7" s="150" t="s">
        <v>138</v>
      </c>
      <c r="B7" s="150" t="s">
        <v>139</v>
      </c>
      <c r="C7" s="151" t="s">
        <v>134</v>
      </c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</row>
    <row r="8" spans="1:15">
      <c r="A8" s="150" t="s">
        <v>140</v>
      </c>
      <c r="B8" s="150" t="s">
        <v>141</v>
      </c>
      <c r="C8" s="151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</row>
    <row r="9" spans="1:15">
      <c r="A9" s="150" t="s">
        <v>142</v>
      </c>
      <c r="B9" s="150" t="s">
        <v>143</v>
      </c>
      <c r="C9" s="151" t="s">
        <v>134</v>
      </c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</row>
    <row r="10" spans="1:15">
      <c r="A10" s="150" t="s">
        <v>144</v>
      </c>
      <c r="B10" s="150" t="s">
        <v>145</v>
      </c>
      <c r="C10" s="151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</row>
    <row r="11" spans="1:15">
      <c r="A11" s="150" t="s">
        <v>146</v>
      </c>
      <c r="B11" s="150" t="s">
        <v>147</v>
      </c>
      <c r="C11" s="151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</row>
    <row r="12" spans="1:15">
      <c r="A12" s="150" t="s">
        <v>148</v>
      </c>
      <c r="B12" s="150" t="s">
        <v>149</v>
      </c>
      <c r="C12" s="151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</row>
    <row r="13" spans="1:15">
      <c r="A13" s="150" t="s">
        <v>150</v>
      </c>
      <c r="B13" s="150" t="s">
        <v>151</v>
      </c>
      <c r="C13" s="151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</row>
    <row r="14" spans="1:15">
      <c r="A14" s="150" t="s">
        <v>152</v>
      </c>
      <c r="B14" s="150" t="s">
        <v>153</v>
      </c>
      <c r="C14" s="151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</row>
    <row r="15" spans="1:15">
      <c r="A15" s="150" t="s">
        <v>154</v>
      </c>
      <c r="B15" s="150" t="s">
        <v>155</v>
      </c>
      <c r="C15" s="151"/>
      <c r="D15" s="152"/>
      <c r="E15" s="152"/>
      <c r="F15" s="152"/>
      <c r="G15" s="178"/>
      <c r="H15" s="152"/>
      <c r="I15" s="152"/>
      <c r="J15" s="152"/>
      <c r="K15" s="152"/>
      <c r="L15" s="152"/>
      <c r="M15" s="152"/>
      <c r="N15" s="152"/>
      <c r="O15" s="152"/>
    </row>
    <row r="16" spans="1:15">
      <c r="A16" s="150" t="s">
        <v>156</v>
      </c>
      <c r="B16" s="150" t="s">
        <v>157</v>
      </c>
      <c r="C16" s="151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</row>
    <row r="17" spans="1:15">
      <c r="A17" s="150" t="s">
        <v>158</v>
      </c>
      <c r="B17" s="150" t="s">
        <v>159</v>
      </c>
      <c r="C17" s="151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</row>
    <row r="18" spans="1:15">
      <c r="A18" s="150" t="s">
        <v>160</v>
      </c>
      <c r="B18" s="150" t="s">
        <v>161</v>
      </c>
      <c r="C18" s="151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</row>
    <row r="19" spans="1:15">
      <c r="A19" s="150" t="s">
        <v>162</v>
      </c>
      <c r="B19" s="150" t="s">
        <v>163</v>
      </c>
      <c r="C19" s="15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</row>
    <row r="20" spans="1:15">
      <c r="A20" s="150" t="s">
        <v>164</v>
      </c>
      <c r="B20" s="150" t="s">
        <v>165</v>
      </c>
      <c r="C20" s="151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</row>
    <row r="21" spans="1:15">
      <c r="A21" s="150" t="s">
        <v>166</v>
      </c>
      <c r="B21" s="150" t="s">
        <v>167</v>
      </c>
      <c r="C21" s="15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</row>
    <row r="22" spans="1:15">
      <c r="A22" s="150" t="s">
        <v>168</v>
      </c>
      <c r="B22" s="150" t="s">
        <v>169</v>
      </c>
      <c r="C22" s="151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</row>
    <row r="23" spans="1:15">
      <c r="A23" s="150" t="s">
        <v>170</v>
      </c>
      <c r="B23" s="150" t="s">
        <v>171</v>
      </c>
      <c r="C23" s="15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</row>
    <row r="24" spans="1:15">
      <c r="A24" s="150" t="s">
        <v>172</v>
      </c>
      <c r="B24" s="150" t="s">
        <v>173</v>
      </c>
      <c r="C24" s="151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</row>
    <row r="25" spans="1:15">
      <c r="A25" s="150" t="s">
        <v>174</v>
      </c>
      <c r="B25" s="150" t="s">
        <v>175</v>
      </c>
      <c r="C25" s="15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</row>
    <row r="26" spans="1:15">
      <c r="A26" s="150" t="s">
        <v>176</v>
      </c>
      <c r="B26" s="150" t="s">
        <v>177</v>
      </c>
      <c r="C26" s="151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</row>
    <row r="27" spans="1:15">
      <c r="A27" s="150" t="s">
        <v>178</v>
      </c>
      <c r="B27" s="150" t="s">
        <v>179</v>
      </c>
      <c r="C27" s="151" t="s">
        <v>134</v>
      </c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</row>
    <row r="28" spans="1:15">
      <c r="A28" s="150" t="s">
        <v>180</v>
      </c>
      <c r="B28" s="150" t="s">
        <v>181</v>
      </c>
      <c r="C28" s="151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</row>
    <row r="29" spans="1:15">
      <c r="A29" s="150" t="s">
        <v>182</v>
      </c>
      <c r="B29" s="150" t="s">
        <v>183</v>
      </c>
      <c r="C29" s="151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</row>
    <row r="30" spans="1:15">
      <c r="A30" s="150" t="s">
        <v>184</v>
      </c>
      <c r="B30" s="150" t="s">
        <v>185</v>
      </c>
      <c r="C30" s="151" t="s">
        <v>135</v>
      </c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</row>
    <row r="31" spans="1:15">
      <c r="A31" s="150" t="s">
        <v>186</v>
      </c>
      <c r="B31" s="150" t="s">
        <v>187</v>
      </c>
      <c r="C31" s="151" t="s">
        <v>134</v>
      </c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</row>
    <row r="32" spans="1:15">
      <c r="A32" s="150" t="s">
        <v>188</v>
      </c>
      <c r="B32" s="150" t="s">
        <v>189</v>
      </c>
      <c r="C32" s="151" t="s">
        <v>134</v>
      </c>
      <c r="D32" s="152"/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152"/>
    </row>
    <row r="33" spans="1:15">
      <c r="A33" s="150" t="s">
        <v>190</v>
      </c>
      <c r="B33" s="150" t="s">
        <v>191</v>
      </c>
      <c r="C33" s="151"/>
      <c r="D33" s="152"/>
      <c r="E33" s="152"/>
      <c r="F33" s="152"/>
      <c r="G33" s="152"/>
      <c r="H33" s="152"/>
      <c r="I33" s="152"/>
      <c r="J33" s="152"/>
      <c r="K33" s="152"/>
      <c r="L33" s="152"/>
      <c r="M33" s="152"/>
      <c r="N33" s="152"/>
      <c r="O33" s="152"/>
    </row>
    <row r="34" spans="1:15">
      <c r="A34" s="150" t="s">
        <v>192</v>
      </c>
      <c r="B34" s="150" t="s">
        <v>193</v>
      </c>
      <c r="C34" s="151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</row>
    <row r="35" spans="1:15">
      <c r="A35" s="150" t="s">
        <v>194</v>
      </c>
      <c r="B35" s="150" t="s">
        <v>195</v>
      </c>
      <c r="C35" s="151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</row>
    <row r="36" spans="1:15">
      <c r="A36" s="150" t="s">
        <v>196</v>
      </c>
      <c r="B36" s="150" t="s">
        <v>197</v>
      </c>
      <c r="C36" s="151"/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</row>
    <row r="37" spans="1:15">
      <c r="A37" s="150" t="s">
        <v>198</v>
      </c>
      <c r="B37" s="150" t="s">
        <v>199</v>
      </c>
      <c r="C37" s="151"/>
      <c r="D37" s="152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</row>
    <row r="38" spans="1:15">
      <c r="A38" s="150" t="s">
        <v>200</v>
      </c>
      <c r="B38" s="150" t="s">
        <v>201</v>
      </c>
      <c r="C38" s="151"/>
      <c r="D38" s="152"/>
      <c r="E38" s="152"/>
      <c r="F38" s="152"/>
      <c r="G38" s="152"/>
      <c r="H38" s="152"/>
      <c r="I38" s="152"/>
      <c r="J38" s="152"/>
      <c r="K38" s="152"/>
      <c r="L38" s="152"/>
      <c r="M38" s="152"/>
      <c r="N38" s="152"/>
      <c r="O38" s="152"/>
    </row>
    <row r="39" spans="1:15">
      <c r="A39" s="150" t="s">
        <v>202</v>
      </c>
      <c r="B39" s="150" t="s">
        <v>203</v>
      </c>
      <c r="C39" s="151"/>
      <c r="D39" s="152"/>
      <c r="E39" s="152"/>
      <c r="F39" s="152"/>
      <c r="G39" s="152"/>
      <c r="H39" s="152"/>
      <c r="I39" s="152"/>
      <c r="J39" s="152"/>
      <c r="K39" s="152"/>
      <c r="L39" s="152"/>
      <c r="M39" s="152"/>
      <c r="N39" s="152"/>
      <c r="O39" s="152"/>
    </row>
    <row r="40" spans="1:15">
      <c r="A40" s="150" t="s">
        <v>204</v>
      </c>
      <c r="B40" s="150" t="s">
        <v>205</v>
      </c>
      <c r="C40" s="151"/>
      <c r="D40" s="152"/>
      <c r="E40" s="152"/>
      <c r="F40" s="152"/>
      <c r="G40" s="152"/>
      <c r="H40" s="152"/>
      <c r="I40" s="152"/>
      <c r="J40" s="152"/>
      <c r="K40" s="152"/>
      <c r="L40" s="152"/>
      <c r="M40" s="152"/>
      <c r="N40" s="152"/>
      <c r="O40" s="152"/>
    </row>
    <row r="41" spans="1:15">
      <c r="A41" s="150" t="s">
        <v>206</v>
      </c>
      <c r="B41" s="150" t="s">
        <v>207</v>
      </c>
      <c r="C41" s="151"/>
      <c r="D41" s="152"/>
      <c r="E41" s="152"/>
      <c r="F41" s="152"/>
      <c r="G41" s="152"/>
      <c r="H41" s="152"/>
      <c r="I41" s="152"/>
      <c r="J41" s="152"/>
      <c r="K41" s="152"/>
      <c r="L41" s="152"/>
      <c r="M41" s="152"/>
      <c r="N41" s="152"/>
      <c r="O41" s="152"/>
    </row>
    <row r="42" spans="1:15">
      <c r="A42" s="150" t="s">
        <v>208</v>
      </c>
      <c r="B42" s="150" t="s">
        <v>209</v>
      </c>
      <c r="C42" s="151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</row>
    <row r="43" spans="1:15">
      <c r="A43" s="150" t="s">
        <v>210</v>
      </c>
      <c r="B43" s="150" t="s">
        <v>211</v>
      </c>
      <c r="C43" s="151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</row>
    <row r="44" spans="1:15">
      <c r="A44" s="150" t="s">
        <v>212</v>
      </c>
      <c r="B44" s="150" t="s">
        <v>213</v>
      </c>
      <c r="C44" s="151"/>
      <c r="D44" s="152"/>
      <c r="E44" s="152"/>
      <c r="F44" s="152"/>
      <c r="G44" s="152"/>
      <c r="H44" s="152"/>
      <c r="I44" s="152"/>
      <c r="J44" s="152"/>
      <c r="K44" s="152"/>
      <c r="L44" s="152"/>
      <c r="M44" s="152"/>
      <c r="N44" s="152"/>
      <c r="O44" s="152"/>
    </row>
    <row r="45" spans="1:15">
      <c r="A45" s="150" t="s">
        <v>214</v>
      </c>
      <c r="B45" s="150" t="s">
        <v>215</v>
      </c>
      <c r="C45" s="151"/>
      <c r="D45" s="152"/>
      <c r="E45" s="152"/>
      <c r="F45" s="152"/>
      <c r="G45" s="152"/>
      <c r="H45" s="152"/>
      <c r="I45" s="152"/>
      <c r="J45" s="152"/>
      <c r="K45" s="152"/>
      <c r="L45" s="152"/>
      <c r="M45" s="152"/>
      <c r="N45" s="152"/>
      <c r="O45" s="152"/>
    </row>
    <row r="46" spans="1:15">
      <c r="A46" s="150" t="s">
        <v>216</v>
      </c>
      <c r="B46" s="150" t="s">
        <v>217</v>
      </c>
      <c r="C46" s="151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</row>
    <row r="47" spans="1:15">
      <c r="A47" s="150" t="s">
        <v>218</v>
      </c>
      <c r="B47" s="150" t="s">
        <v>219</v>
      </c>
      <c r="C47" s="151"/>
      <c r="D47" s="152"/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</row>
    <row r="48" spans="1:15">
      <c r="A48" s="150" t="s">
        <v>220</v>
      </c>
      <c r="B48" s="150" t="s">
        <v>221</v>
      </c>
      <c r="C48" s="151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</row>
    <row r="49" spans="1:15">
      <c r="A49" s="150" t="s">
        <v>222</v>
      </c>
      <c r="B49" s="150" t="s">
        <v>223</v>
      </c>
      <c r="C49" s="151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</row>
    <row r="50" spans="1:15">
      <c r="A50" s="150" t="s">
        <v>224</v>
      </c>
      <c r="B50" s="150" t="s">
        <v>225</v>
      </c>
      <c r="C50" s="151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</row>
    <row r="51" spans="1:15">
      <c r="A51" s="150" t="s">
        <v>226</v>
      </c>
      <c r="B51" s="150" t="s">
        <v>227</v>
      </c>
      <c r="C51" s="151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</row>
    <row r="52" spans="1:15">
      <c r="A52" s="150" t="s">
        <v>228</v>
      </c>
      <c r="B52" s="150" t="s">
        <v>229</v>
      </c>
      <c r="C52" s="151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</row>
    <row r="53" spans="1:15">
      <c r="A53" s="150" t="s">
        <v>230</v>
      </c>
      <c r="B53" s="150" t="s">
        <v>231</v>
      </c>
      <c r="C53" s="151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</row>
    <row r="54" spans="1:15">
      <c r="A54" s="150" t="s">
        <v>232</v>
      </c>
      <c r="B54" s="150" t="s">
        <v>233</v>
      </c>
      <c r="C54" s="151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</row>
    <row r="55" spans="1:15">
      <c r="A55" s="150" t="s">
        <v>234</v>
      </c>
      <c r="B55" s="150" t="s">
        <v>235</v>
      </c>
      <c r="C55" s="151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</row>
    <row r="56" spans="1:15">
      <c r="A56" s="150" t="s">
        <v>236</v>
      </c>
      <c r="B56" s="150" t="s">
        <v>237</v>
      </c>
      <c r="C56" s="151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</row>
    <row r="57" spans="1:15">
      <c r="A57" s="150" t="s">
        <v>238</v>
      </c>
      <c r="B57" s="150" t="s">
        <v>239</v>
      </c>
      <c r="C57" s="151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</row>
    <row r="58" spans="1:15">
      <c r="A58" s="150" t="s">
        <v>240</v>
      </c>
      <c r="B58" s="150" t="s">
        <v>241</v>
      </c>
      <c r="C58" s="151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</row>
    <row r="59" spans="1:15">
      <c r="A59" s="150" t="s">
        <v>242</v>
      </c>
      <c r="B59" s="150" t="s">
        <v>243</v>
      </c>
      <c r="C59" s="151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</row>
    <row r="60" spans="1:15">
      <c r="A60" s="150" t="s">
        <v>244</v>
      </c>
      <c r="B60" s="150" t="s">
        <v>245</v>
      </c>
      <c r="C60" s="151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</row>
    <row r="61" spans="1:15">
      <c r="A61" s="150" t="s">
        <v>246</v>
      </c>
      <c r="B61" s="150" t="s">
        <v>247</v>
      </c>
      <c r="C61" s="151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</row>
    <row r="62" spans="1:15">
      <c r="A62" s="150" t="s">
        <v>248</v>
      </c>
      <c r="B62" s="150" t="s">
        <v>249</v>
      </c>
      <c r="C62" s="151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</row>
    <row r="63" spans="1:15">
      <c r="A63" s="150" t="s">
        <v>250</v>
      </c>
      <c r="B63" s="150" t="s">
        <v>251</v>
      </c>
      <c r="C63" s="151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</row>
    <row r="64" spans="1:15">
      <c r="A64" s="150" t="s">
        <v>252</v>
      </c>
      <c r="B64" s="150" t="s">
        <v>253</v>
      </c>
      <c r="C64" s="151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</row>
    <row r="65" spans="1:15">
      <c r="A65" s="150" t="s">
        <v>254</v>
      </c>
      <c r="B65" s="150" t="s">
        <v>255</v>
      </c>
      <c r="C65" s="151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  <c r="O65" s="152"/>
    </row>
    <row r="66" spans="1:15">
      <c r="A66" s="150" t="s">
        <v>256</v>
      </c>
      <c r="B66" s="150" t="s">
        <v>257</v>
      </c>
      <c r="C66" s="151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</row>
    <row r="67" spans="1:15">
      <c r="A67" s="150" t="s">
        <v>258</v>
      </c>
      <c r="B67" s="150" t="s">
        <v>259</v>
      </c>
      <c r="C67" s="151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  <c r="O67" s="152"/>
    </row>
    <row r="68" spans="1:15">
      <c r="A68" s="150" t="s">
        <v>260</v>
      </c>
      <c r="B68" s="150" t="s">
        <v>261</v>
      </c>
      <c r="C68" s="151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  <c r="O68" s="152"/>
    </row>
    <row r="69" spans="1:15">
      <c r="A69" s="150" t="s">
        <v>262</v>
      </c>
      <c r="B69" s="150" t="s">
        <v>263</v>
      </c>
      <c r="C69" s="151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</row>
    <row r="70" spans="1:15">
      <c r="A70" s="150" t="s">
        <v>264</v>
      </c>
      <c r="B70" s="150" t="s">
        <v>265</v>
      </c>
      <c r="C70" s="151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  <c r="O70" s="152"/>
    </row>
    <row r="71" spans="1:15">
      <c r="A71" s="150" t="s">
        <v>266</v>
      </c>
      <c r="B71" s="150" t="s">
        <v>267</v>
      </c>
      <c r="C71" s="151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</row>
    <row r="72" spans="1:15">
      <c r="A72" s="150" t="s">
        <v>268</v>
      </c>
      <c r="B72" s="150" t="s">
        <v>269</v>
      </c>
      <c r="C72" s="151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</row>
    <row r="73" spans="1:15">
      <c r="A73" s="150" t="s">
        <v>270</v>
      </c>
      <c r="B73" s="150" t="s">
        <v>271</v>
      </c>
      <c r="C73" s="151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</row>
    <row r="74" spans="1:15">
      <c r="A74" s="150" t="s">
        <v>272</v>
      </c>
      <c r="B74" s="150" t="s">
        <v>273</v>
      </c>
      <c r="C74" s="151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  <c r="O74" s="152"/>
    </row>
    <row r="75" spans="1:15">
      <c r="A75" s="150" t="s">
        <v>274</v>
      </c>
      <c r="B75" s="150" t="s">
        <v>275</v>
      </c>
      <c r="C75" s="151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</row>
    <row r="76" spans="1:15">
      <c r="A76" s="150" t="s">
        <v>276</v>
      </c>
      <c r="B76" s="150" t="s">
        <v>277</v>
      </c>
      <c r="C76" s="151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</row>
    <row r="77" spans="1:15">
      <c r="A77" s="150" t="s">
        <v>278</v>
      </c>
      <c r="B77" s="150" t="s">
        <v>279</v>
      </c>
      <c r="C77" s="151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</row>
    <row r="78" spans="1:15">
      <c r="A78" s="150" t="s">
        <v>280</v>
      </c>
      <c r="B78" s="150" t="s">
        <v>281</v>
      </c>
      <c r="C78" s="151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</row>
    <row r="79" spans="1:15">
      <c r="A79" s="150" t="s">
        <v>282</v>
      </c>
      <c r="B79" s="150" t="s">
        <v>283</v>
      </c>
      <c r="C79" s="151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</row>
    <row r="80" spans="1:15">
      <c r="A80" s="150" t="s">
        <v>284</v>
      </c>
      <c r="B80" s="150" t="s">
        <v>285</v>
      </c>
      <c r="C80" s="151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</row>
    <row r="81" spans="1:15">
      <c r="A81" s="150" t="s">
        <v>286</v>
      </c>
      <c r="B81" s="150" t="s">
        <v>287</v>
      </c>
      <c r="C81" s="151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</row>
    <row r="82" spans="1:15">
      <c r="A82" s="150" t="s">
        <v>288</v>
      </c>
      <c r="B82" s="150" t="s">
        <v>289</v>
      </c>
      <c r="C82" s="151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</row>
    <row r="83" spans="1:15">
      <c r="A83" s="150" t="s">
        <v>290</v>
      </c>
      <c r="B83" s="150" t="s">
        <v>291</v>
      </c>
      <c r="C83" s="151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</row>
    <row r="84" spans="1:15">
      <c r="A84" s="150" t="s">
        <v>292</v>
      </c>
      <c r="B84" s="150" t="s">
        <v>293</v>
      </c>
      <c r="C84" s="151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</row>
    <row r="85" spans="1:15">
      <c r="A85" s="150" t="s">
        <v>294</v>
      </c>
      <c r="B85" s="150" t="s">
        <v>295</v>
      </c>
      <c r="C85" s="151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</row>
    <row r="86" spans="1:15">
      <c r="A86" s="150" t="s">
        <v>296</v>
      </c>
      <c r="B86" s="150" t="s">
        <v>297</v>
      </c>
      <c r="C86" s="151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</row>
    <row r="87" spans="1:15">
      <c r="A87" s="150" t="s">
        <v>298</v>
      </c>
      <c r="B87" s="150" t="s">
        <v>299</v>
      </c>
      <c r="C87" s="151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</row>
    <row r="88" spans="1:15">
      <c r="A88" s="150" t="s">
        <v>300</v>
      </c>
      <c r="B88" s="150" t="s">
        <v>301</v>
      </c>
      <c r="C88" s="151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</row>
    <row r="89" spans="1:15">
      <c r="A89" s="150" t="s">
        <v>302</v>
      </c>
      <c r="B89" s="150" t="s">
        <v>303</v>
      </c>
      <c r="C89" s="151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</row>
    <row r="90" spans="1:15">
      <c r="A90" s="150" t="s">
        <v>304</v>
      </c>
      <c r="B90" s="150" t="s">
        <v>305</v>
      </c>
      <c r="C90" s="151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</row>
    <row r="91" spans="1:15">
      <c r="A91" s="150" t="s">
        <v>306</v>
      </c>
      <c r="B91" s="150" t="s">
        <v>307</v>
      </c>
      <c r="C91" s="151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</row>
    <row r="92" spans="1:15">
      <c r="A92" s="150" t="s">
        <v>308</v>
      </c>
      <c r="B92" s="150" t="s">
        <v>309</v>
      </c>
      <c r="C92" s="151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</row>
    <row r="93" spans="1:15">
      <c r="A93" s="150" t="s">
        <v>310</v>
      </c>
      <c r="B93" s="150" t="s">
        <v>311</v>
      </c>
      <c r="C93" s="151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</row>
    <row r="94" spans="1:15">
      <c r="A94" s="150" t="s">
        <v>312</v>
      </c>
      <c r="B94" s="150" t="s">
        <v>313</v>
      </c>
      <c r="C94" s="151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</row>
    <row r="95" spans="1:15">
      <c r="A95" s="150" t="s">
        <v>314</v>
      </c>
      <c r="B95" s="150" t="s">
        <v>315</v>
      </c>
      <c r="C95" s="151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</row>
    <row r="96" spans="1:15">
      <c r="A96" s="150" t="s">
        <v>316</v>
      </c>
      <c r="B96" s="150" t="s">
        <v>317</v>
      </c>
      <c r="C96" s="151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</row>
    <row r="97" spans="1:15">
      <c r="A97" s="150" t="s">
        <v>318</v>
      </c>
      <c r="B97" s="150" t="s">
        <v>319</v>
      </c>
      <c r="C97" s="151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</row>
    <row r="98" spans="1:15">
      <c r="A98" s="150" t="s">
        <v>320</v>
      </c>
      <c r="B98" s="150" t="s">
        <v>321</v>
      </c>
      <c r="C98" s="151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</row>
    <row r="99" spans="1:15">
      <c r="A99" s="150" t="s">
        <v>322</v>
      </c>
      <c r="B99" s="150" t="s">
        <v>323</v>
      </c>
      <c r="C99" s="151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</row>
    <row r="100" spans="1:15">
      <c r="A100" s="150" t="s">
        <v>324</v>
      </c>
      <c r="B100" s="150" t="s">
        <v>325</v>
      </c>
      <c r="C100" s="151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</row>
    <row r="101" spans="1:15">
      <c r="A101" s="150" t="s">
        <v>326</v>
      </c>
      <c r="B101" s="150" t="s">
        <v>327</v>
      </c>
      <c r="C101" s="151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</row>
    <row r="102" spans="1:15">
      <c r="A102" s="150" t="s">
        <v>328</v>
      </c>
      <c r="B102" s="150" t="s">
        <v>329</v>
      </c>
      <c r="C102" s="151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</row>
    <row r="103" spans="1:15">
      <c r="A103" s="150" t="s">
        <v>330</v>
      </c>
      <c r="B103" s="150" t="s">
        <v>331</v>
      </c>
      <c r="C103" s="151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</row>
    <row r="104" spans="1:15">
      <c r="A104" s="150" t="s">
        <v>332</v>
      </c>
      <c r="B104" s="150" t="s">
        <v>333</v>
      </c>
      <c r="C104" s="151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</row>
    <row r="105" spans="1:15">
      <c r="A105" s="150" t="s">
        <v>334</v>
      </c>
      <c r="B105" s="150" t="s">
        <v>335</v>
      </c>
      <c r="C105" s="151"/>
      <c r="D105" s="152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</row>
    <row r="106" spans="1:15">
      <c r="A106" s="150" t="s">
        <v>336</v>
      </c>
      <c r="B106" s="150" t="s">
        <v>337</v>
      </c>
      <c r="C106" s="151"/>
      <c r="D106" s="152"/>
      <c r="E106" s="152"/>
      <c r="F106" s="152"/>
      <c r="G106" s="152"/>
      <c r="H106" s="152"/>
      <c r="I106" s="152"/>
      <c r="J106" s="152"/>
      <c r="K106" s="152"/>
      <c r="L106" s="152"/>
      <c r="M106" s="152"/>
      <c r="N106" s="152"/>
      <c r="O106" s="152"/>
    </row>
    <row r="107" spans="1:15">
      <c r="A107" s="150" t="s">
        <v>338</v>
      </c>
      <c r="B107" s="150" t="s">
        <v>339</v>
      </c>
      <c r="C107" s="151"/>
      <c r="D107" s="152"/>
      <c r="E107" s="152"/>
      <c r="F107" s="152"/>
      <c r="G107" s="152"/>
      <c r="H107" s="152"/>
      <c r="I107" s="152"/>
      <c r="J107" s="152"/>
      <c r="K107" s="152"/>
      <c r="L107" s="152"/>
      <c r="M107" s="152"/>
      <c r="N107" s="152"/>
      <c r="O107" s="152"/>
    </row>
    <row r="108" spans="1:15">
      <c r="A108" s="150" t="s">
        <v>340</v>
      </c>
      <c r="B108" s="150" t="s">
        <v>341</v>
      </c>
      <c r="C108" s="151"/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</row>
    <row r="109" spans="1:15">
      <c r="A109" s="150" t="s">
        <v>342</v>
      </c>
      <c r="B109" s="150" t="s">
        <v>343</v>
      </c>
      <c r="C109" s="151"/>
      <c r="D109" s="152"/>
      <c r="E109" s="152"/>
      <c r="F109" s="152"/>
      <c r="G109" s="152"/>
      <c r="H109" s="152"/>
      <c r="I109" s="152"/>
      <c r="J109" s="152"/>
      <c r="K109" s="152"/>
      <c r="L109" s="152"/>
      <c r="M109" s="152"/>
      <c r="N109" s="152"/>
      <c r="O109" s="152"/>
    </row>
    <row r="110" spans="1:15">
      <c r="A110" s="150" t="s">
        <v>344</v>
      </c>
      <c r="B110" s="150" t="s">
        <v>345</v>
      </c>
      <c r="C110" s="151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</row>
    <row r="111" spans="1:15">
      <c r="A111" s="150" t="s">
        <v>346</v>
      </c>
      <c r="B111" s="150" t="s">
        <v>347</v>
      </c>
      <c r="C111" s="151"/>
      <c r="D111" s="152"/>
      <c r="E111" s="152"/>
      <c r="F111" s="152"/>
      <c r="G111" s="152"/>
      <c r="H111" s="152"/>
      <c r="I111" s="152"/>
      <c r="J111" s="152"/>
      <c r="K111" s="152"/>
      <c r="L111" s="152"/>
      <c r="M111" s="152"/>
      <c r="N111" s="152"/>
      <c r="O111" s="152"/>
    </row>
    <row r="112" spans="1:15">
      <c r="A112" s="150" t="s">
        <v>348</v>
      </c>
      <c r="B112" s="150" t="s">
        <v>349</v>
      </c>
      <c r="C112" s="151"/>
      <c r="D112" s="152"/>
      <c r="E112" s="152"/>
      <c r="F112" s="152"/>
      <c r="G112" s="152"/>
      <c r="H112" s="152"/>
      <c r="I112" s="152"/>
      <c r="J112" s="152"/>
      <c r="K112" s="152"/>
      <c r="L112" s="152"/>
      <c r="M112" s="152"/>
      <c r="N112" s="152"/>
      <c r="O112" s="152"/>
    </row>
    <row r="113" spans="1:15">
      <c r="A113" s="150" t="s">
        <v>350</v>
      </c>
      <c r="B113" s="150" t="s">
        <v>351</v>
      </c>
      <c r="C113" s="151"/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</row>
    <row r="114" spans="1:15">
      <c r="A114" s="150" t="s">
        <v>352</v>
      </c>
      <c r="B114" s="150" t="s">
        <v>353</v>
      </c>
      <c r="C114" s="151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</row>
    <row r="115" spans="1:15">
      <c r="A115" s="150" t="s">
        <v>354</v>
      </c>
      <c r="B115" s="150" t="s">
        <v>355</v>
      </c>
      <c r="C115" s="151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  <c r="N115" s="152"/>
      <c r="O115" s="152"/>
    </row>
    <row r="116" spans="1:15">
      <c r="A116" s="150" t="s">
        <v>356</v>
      </c>
      <c r="B116" s="150" t="s">
        <v>357</v>
      </c>
      <c r="C116" s="151"/>
      <c r="D116" s="152"/>
      <c r="E116" s="152"/>
      <c r="F116" s="152"/>
      <c r="G116" s="152"/>
      <c r="H116" s="152"/>
      <c r="I116" s="152"/>
      <c r="J116" s="152"/>
      <c r="K116" s="152"/>
      <c r="L116" s="152"/>
      <c r="M116" s="152"/>
      <c r="N116" s="152"/>
      <c r="O116" s="152"/>
    </row>
    <row r="117" spans="1:15">
      <c r="A117" s="150" t="s">
        <v>358</v>
      </c>
      <c r="B117" s="150" t="s">
        <v>359</v>
      </c>
      <c r="C117" s="151"/>
      <c r="D117" s="152"/>
      <c r="E117" s="152"/>
      <c r="F117" s="152"/>
      <c r="G117" s="152"/>
      <c r="H117" s="152"/>
      <c r="I117" s="152"/>
      <c r="J117" s="152"/>
      <c r="K117" s="152"/>
      <c r="L117" s="152"/>
      <c r="M117" s="152"/>
      <c r="N117" s="152"/>
      <c r="O117" s="152"/>
    </row>
    <row r="118" spans="1:15">
      <c r="A118" s="150" t="s">
        <v>360</v>
      </c>
      <c r="B118" s="150" t="s">
        <v>361</v>
      </c>
      <c r="C118" s="151"/>
      <c r="D118" s="152"/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</row>
    <row r="119" spans="1:15">
      <c r="A119" s="150" t="s">
        <v>362</v>
      </c>
      <c r="B119" s="150" t="s">
        <v>363</v>
      </c>
      <c r="C119" s="151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</row>
    <row r="120" spans="1:15">
      <c r="A120" s="150" t="s">
        <v>364</v>
      </c>
      <c r="B120" s="150" t="s">
        <v>365</v>
      </c>
      <c r="C120" s="151"/>
      <c r="D120" s="152"/>
      <c r="E120" s="152"/>
      <c r="F120" s="152"/>
      <c r="G120" s="152"/>
      <c r="H120" s="152"/>
      <c r="I120" s="152"/>
      <c r="J120" s="152"/>
      <c r="K120" s="152"/>
      <c r="L120" s="152"/>
      <c r="M120" s="152"/>
      <c r="N120" s="152"/>
      <c r="O120" s="152"/>
    </row>
    <row r="121" spans="1:15">
      <c r="A121" s="150" t="s">
        <v>366</v>
      </c>
      <c r="B121" s="150" t="s">
        <v>367</v>
      </c>
      <c r="C121" s="151"/>
      <c r="D121" s="152"/>
      <c r="E121" s="152"/>
      <c r="F121" s="152"/>
      <c r="G121" s="152"/>
      <c r="H121" s="152"/>
      <c r="I121" s="152"/>
      <c r="J121" s="152"/>
      <c r="K121" s="152"/>
      <c r="L121" s="152"/>
      <c r="M121" s="152"/>
      <c r="N121" s="152"/>
      <c r="O121" s="152"/>
    </row>
    <row r="122" spans="1:15">
      <c r="A122" s="150" t="s">
        <v>368</v>
      </c>
      <c r="B122" s="150" t="s">
        <v>369</v>
      </c>
      <c r="C122" s="151"/>
      <c r="D122" s="152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</row>
    <row r="123" spans="1:15">
      <c r="A123" s="150" t="s">
        <v>370</v>
      </c>
      <c r="B123" s="150" t="s">
        <v>371</v>
      </c>
      <c r="C123" s="151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</row>
    <row r="124" spans="1:15">
      <c r="A124" s="150" t="s">
        <v>372</v>
      </c>
      <c r="B124" s="150" t="s">
        <v>373</v>
      </c>
      <c r="C124" s="151"/>
      <c r="D124" s="152"/>
      <c r="E124" s="152"/>
      <c r="F124" s="152"/>
      <c r="G124" s="152"/>
      <c r="H124" s="152"/>
      <c r="I124" s="152"/>
      <c r="J124" s="152"/>
      <c r="K124" s="152"/>
      <c r="L124" s="152"/>
      <c r="M124" s="152"/>
      <c r="N124" s="152"/>
      <c r="O124" s="152"/>
    </row>
    <row r="125" spans="1:15">
      <c r="A125" s="150" t="s">
        <v>374</v>
      </c>
      <c r="B125" s="150" t="s">
        <v>375</v>
      </c>
      <c r="C125" s="151"/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</row>
    <row r="126" spans="1:15">
      <c r="A126" s="150" t="s">
        <v>376</v>
      </c>
      <c r="B126" s="150" t="s">
        <v>377</v>
      </c>
      <c r="C126" s="151"/>
      <c r="D126" s="152"/>
      <c r="E126" s="152"/>
      <c r="F126" s="152"/>
      <c r="G126" s="152"/>
      <c r="H126" s="152"/>
      <c r="I126" s="152"/>
      <c r="J126" s="152"/>
      <c r="K126" s="152"/>
      <c r="L126" s="152"/>
      <c r="M126" s="152"/>
      <c r="N126" s="152"/>
      <c r="O126" s="152"/>
    </row>
    <row r="127" spans="1:15">
      <c r="A127" s="150" t="s">
        <v>378</v>
      </c>
      <c r="B127" s="150" t="s">
        <v>379</v>
      </c>
      <c r="C127" s="151"/>
      <c r="D127" s="152"/>
      <c r="E127" s="152"/>
      <c r="F127" s="152"/>
      <c r="G127" s="152"/>
      <c r="H127" s="152"/>
      <c r="I127" s="152"/>
      <c r="J127" s="152"/>
      <c r="K127" s="152"/>
      <c r="L127" s="152"/>
      <c r="M127" s="152"/>
      <c r="N127" s="152"/>
      <c r="O127" s="152"/>
    </row>
    <row r="128" spans="1:15">
      <c r="A128" s="150" t="s">
        <v>380</v>
      </c>
      <c r="B128" s="150" t="s">
        <v>381</v>
      </c>
      <c r="C128" s="151"/>
      <c r="D128" s="152"/>
      <c r="E128" s="152"/>
      <c r="F128" s="152"/>
      <c r="G128" s="152"/>
      <c r="H128" s="152"/>
      <c r="I128" s="152"/>
      <c r="J128" s="152"/>
      <c r="K128" s="152"/>
      <c r="L128" s="152"/>
      <c r="M128" s="152"/>
      <c r="N128" s="152"/>
      <c r="O128" s="152"/>
    </row>
    <row r="129" spans="1:15">
      <c r="A129" s="150" t="s">
        <v>382</v>
      </c>
      <c r="B129" s="150" t="s">
        <v>383</v>
      </c>
      <c r="C129" s="151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</row>
    <row r="130" spans="1:15">
      <c r="A130" s="150" t="s">
        <v>384</v>
      </c>
      <c r="B130" s="150" t="s">
        <v>385</v>
      </c>
      <c r="C130" s="151"/>
      <c r="D130" s="152"/>
      <c r="E130" s="152"/>
      <c r="F130" s="152"/>
      <c r="G130" s="152"/>
      <c r="H130" s="152"/>
      <c r="I130" s="152"/>
      <c r="J130" s="152"/>
      <c r="K130" s="152"/>
      <c r="L130" s="152"/>
      <c r="M130" s="152"/>
      <c r="N130" s="152"/>
      <c r="O130" s="152"/>
    </row>
    <row r="131" spans="1:15">
      <c r="A131" s="150" t="s">
        <v>386</v>
      </c>
      <c r="B131" s="150" t="s">
        <v>387</v>
      </c>
      <c r="C131" s="151"/>
      <c r="D131" s="152"/>
      <c r="E131" s="152"/>
      <c r="F131" s="152"/>
      <c r="G131" s="152"/>
      <c r="H131" s="152"/>
      <c r="I131" s="152"/>
      <c r="J131" s="152"/>
      <c r="K131" s="152"/>
      <c r="L131" s="152"/>
      <c r="M131" s="152"/>
      <c r="N131" s="152"/>
      <c r="O131" s="152"/>
    </row>
    <row r="132" spans="1:15">
      <c r="A132" s="150" t="s">
        <v>388</v>
      </c>
      <c r="B132" s="150" t="s">
        <v>389</v>
      </c>
      <c r="C132" s="151"/>
      <c r="D132" s="152"/>
      <c r="E132" s="152"/>
      <c r="F132" s="152"/>
      <c r="G132" s="152"/>
      <c r="H132" s="152"/>
      <c r="I132" s="152"/>
      <c r="J132" s="152"/>
      <c r="K132" s="152"/>
      <c r="L132" s="152"/>
      <c r="M132" s="152"/>
      <c r="N132" s="152"/>
      <c r="O132" s="152"/>
    </row>
    <row r="133" spans="1:15">
      <c r="A133" s="150" t="s">
        <v>390</v>
      </c>
      <c r="B133" s="150" t="s">
        <v>391</v>
      </c>
      <c r="C133" s="151"/>
      <c r="D133" s="152"/>
      <c r="E133" s="1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</row>
    <row r="134" spans="1:15">
      <c r="A134" s="153" t="s">
        <v>106</v>
      </c>
      <c r="B134" s="153"/>
      <c r="C134" s="154"/>
      <c r="D134" s="155">
        <f>SUBTOTAL(104,_clients[1])</f>
        <v>3</v>
      </c>
      <c r="E134" s="155">
        <f>SUBTOTAL(104,_clients[2])</f>
        <v>0</v>
      </c>
      <c r="F134" s="155">
        <f>SUBTOTAL(104,_clients[3])</f>
        <v>0</v>
      </c>
      <c r="G134" s="155">
        <f>SUBTOTAL(104,_clients[4])</f>
        <v>0</v>
      </c>
      <c r="H134" s="155">
        <f>SUBTOTAL(104,_clients[5])</f>
        <v>0</v>
      </c>
      <c r="I134" s="155">
        <f>SUBTOTAL(104,_clients[6])</f>
        <v>0</v>
      </c>
      <c r="J134" s="155">
        <f>SUBTOTAL(104,_clients[7])</f>
        <v>0</v>
      </c>
      <c r="K134" s="155">
        <f>SUBTOTAL(104,_clients[8])</f>
        <v>0</v>
      </c>
      <c r="L134" s="155">
        <f>SUBTOTAL(104,_clients[9])</f>
        <v>0</v>
      </c>
      <c r="M134" s="155">
        <f>SUBTOTAL(104,_clients[10])</f>
        <v>0</v>
      </c>
      <c r="N134" s="155">
        <f>SUBTOTAL(104,_clients[11])</f>
        <v>0</v>
      </c>
      <c r="O134" s="155">
        <f>SUBTOTAL(104,_clients[12])</f>
        <v>0</v>
      </c>
    </row>
  </sheetData>
  <sheetProtection sheet="1" objects="1" scenarios="1"/>
  <pageMargins left="0.75" right="0.75" top="1" bottom="1" header="0.5" footer="0.5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bjetsFeuille" enableFormatConditionsCalculation="0"/>
  <dimension ref="A1:M29"/>
  <sheetViews>
    <sheetView workbookViewId="0">
      <selection activeCell="A32" sqref="A32"/>
    </sheetView>
  </sheetViews>
  <sheetFormatPr baseColWidth="10" defaultRowHeight="15" x14ac:dyDescent="0"/>
  <cols>
    <col min="1" max="1" width="35.83203125" bestFit="1" customWidth="1"/>
    <col min="2" max="2" width="14" style="28" bestFit="1" customWidth="1"/>
    <col min="5" max="5" width="11.6640625" customWidth="1"/>
  </cols>
  <sheetData>
    <row r="1" spans="1:13">
      <c r="A1" s="5" t="s">
        <v>4</v>
      </c>
      <c r="B1" s="27" t="s">
        <v>6</v>
      </c>
      <c r="E1" t="s">
        <v>108</v>
      </c>
      <c r="F1" t="s">
        <v>107</v>
      </c>
    </row>
    <row r="2" spans="1:13">
      <c r="A2" s="5" t="s">
        <v>5</v>
      </c>
      <c r="B2" s="27">
        <v>1.2</v>
      </c>
      <c r="E2">
        <v>1</v>
      </c>
      <c r="F2" t="s">
        <v>109</v>
      </c>
    </row>
    <row r="3" spans="1:13">
      <c r="A3" s="5" t="s">
        <v>408</v>
      </c>
      <c r="B3" s="27">
        <v>1.2</v>
      </c>
      <c r="E3">
        <v>2</v>
      </c>
      <c r="F3" t="s">
        <v>110</v>
      </c>
    </row>
    <row r="4" spans="1:13">
      <c r="A4" s="5" t="s">
        <v>410</v>
      </c>
      <c r="B4" s="27">
        <v>2.4</v>
      </c>
      <c r="E4">
        <v>3</v>
      </c>
      <c r="F4" t="s">
        <v>111</v>
      </c>
    </row>
    <row r="5" spans="1:13">
      <c r="A5" s="5" t="s">
        <v>409</v>
      </c>
      <c r="B5" s="27">
        <v>1.2</v>
      </c>
      <c r="E5">
        <v>4</v>
      </c>
      <c r="F5" t="s">
        <v>112</v>
      </c>
      <c r="L5" s="161" t="s">
        <v>5</v>
      </c>
      <c r="M5" s="162">
        <v>1.2</v>
      </c>
    </row>
    <row r="6" spans="1:13">
      <c r="A6" s="5" t="s">
        <v>411</v>
      </c>
      <c r="B6" s="27">
        <v>1.2</v>
      </c>
      <c r="E6">
        <v>5</v>
      </c>
      <c r="F6" t="s">
        <v>113</v>
      </c>
      <c r="L6" s="163" t="s">
        <v>408</v>
      </c>
      <c r="M6" s="164">
        <v>1.2</v>
      </c>
    </row>
    <row r="7" spans="1:13">
      <c r="A7" s="5" t="s">
        <v>404</v>
      </c>
      <c r="B7" s="27">
        <v>0.6</v>
      </c>
      <c r="E7">
        <v>6</v>
      </c>
      <c r="F7" t="s">
        <v>114</v>
      </c>
      <c r="L7" s="161" t="s">
        <v>410</v>
      </c>
      <c r="M7" s="162">
        <v>2.4</v>
      </c>
    </row>
    <row r="8" spans="1:13">
      <c r="A8" s="5" t="s">
        <v>412</v>
      </c>
      <c r="B8" s="27">
        <v>1.2</v>
      </c>
      <c r="E8">
        <v>7</v>
      </c>
      <c r="F8" t="s">
        <v>115</v>
      </c>
      <c r="L8" s="163" t="s">
        <v>409</v>
      </c>
      <c r="M8" s="164">
        <v>1.2</v>
      </c>
    </row>
    <row r="9" spans="1:13">
      <c r="A9" s="5" t="s">
        <v>392</v>
      </c>
      <c r="B9" s="27">
        <v>3</v>
      </c>
      <c r="E9">
        <v>8</v>
      </c>
      <c r="F9" t="s">
        <v>116</v>
      </c>
      <c r="L9" s="161" t="s">
        <v>411</v>
      </c>
      <c r="M9" s="162">
        <v>1.2</v>
      </c>
    </row>
    <row r="10" spans="1:13">
      <c r="A10" s="5" t="s">
        <v>393</v>
      </c>
      <c r="B10" s="27">
        <v>1</v>
      </c>
      <c r="E10">
        <v>9</v>
      </c>
      <c r="F10" t="s">
        <v>117</v>
      </c>
      <c r="L10" s="163" t="s">
        <v>404</v>
      </c>
      <c r="M10" s="164">
        <v>0.6</v>
      </c>
    </row>
    <row r="11" spans="1:13">
      <c r="A11" s="5" t="s">
        <v>400</v>
      </c>
      <c r="B11" s="27">
        <v>2</v>
      </c>
      <c r="E11">
        <v>10</v>
      </c>
      <c r="F11" t="s">
        <v>118</v>
      </c>
      <c r="L11" s="161" t="s">
        <v>412</v>
      </c>
      <c r="M11" s="162">
        <v>1.2</v>
      </c>
    </row>
    <row r="12" spans="1:13">
      <c r="A12" s="5" t="s">
        <v>406</v>
      </c>
      <c r="B12" s="27">
        <v>0.8</v>
      </c>
      <c r="E12">
        <v>11</v>
      </c>
      <c r="F12" t="s">
        <v>119</v>
      </c>
      <c r="L12" s="163" t="s">
        <v>392</v>
      </c>
      <c r="M12" s="164">
        <v>3</v>
      </c>
    </row>
    <row r="13" spans="1:13">
      <c r="A13" s="5" t="s">
        <v>394</v>
      </c>
      <c r="B13" s="27">
        <v>3</v>
      </c>
      <c r="E13">
        <v>12</v>
      </c>
      <c r="F13" t="s">
        <v>120</v>
      </c>
      <c r="L13" s="161" t="s">
        <v>393</v>
      </c>
      <c r="M13" s="162">
        <v>1</v>
      </c>
    </row>
    <row r="14" spans="1:13">
      <c r="A14" s="5" t="s">
        <v>395</v>
      </c>
      <c r="B14" s="27">
        <v>3</v>
      </c>
      <c r="L14" s="163" t="s">
        <v>400</v>
      </c>
      <c r="M14" s="164">
        <v>2</v>
      </c>
    </row>
    <row r="15" spans="1:13">
      <c r="A15" s="5" t="s">
        <v>396</v>
      </c>
      <c r="B15" s="27">
        <v>1.2</v>
      </c>
      <c r="L15" s="161" t="s">
        <v>406</v>
      </c>
      <c r="M15" s="162">
        <v>0.8</v>
      </c>
    </row>
    <row r="16" spans="1:13">
      <c r="A16" s="5" t="s">
        <v>476</v>
      </c>
      <c r="B16" s="27">
        <v>2.57</v>
      </c>
      <c r="L16" s="163" t="s">
        <v>394</v>
      </c>
      <c r="M16" s="164">
        <v>3</v>
      </c>
    </row>
    <row r="17" spans="1:13">
      <c r="A17" s="5" t="s">
        <v>397</v>
      </c>
      <c r="B17" s="27">
        <v>2.4</v>
      </c>
      <c r="L17" s="161" t="s">
        <v>395</v>
      </c>
      <c r="M17" s="162">
        <v>3</v>
      </c>
    </row>
    <row r="18" spans="1:13">
      <c r="A18" s="5" t="s">
        <v>398</v>
      </c>
      <c r="B18" s="27">
        <v>1.2</v>
      </c>
      <c r="L18" s="163" t="s">
        <v>396</v>
      </c>
      <c r="M18" s="164">
        <v>1.2</v>
      </c>
    </row>
    <row r="19" spans="1:13">
      <c r="A19" s="5" t="s">
        <v>399</v>
      </c>
      <c r="B19" s="27">
        <v>1.5</v>
      </c>
      <c r="L19" s="161" t="s">
        <v>475</v>
      </c>
      <c r="M19" s="162">
        <v>4</v>
      </c>
    </row>
    <row r="20" spans="1:13">
      <c r="A20" s="5" t="s">
        <v>401</v>
      </c>
      <c r="B20" s="27">
        <v>1.2</v>
      </c>
      <c r="L20" s="163" t="s">
        <v>474</v>
      </c>
      <c r="M20" s="164">
        <v>2.56</v>
      </c>
    </row>
    <row r="21" spans="1:13">
      <c r="A21" s="5" t="s">
        <v>403</v>
      </c>
      <c r="B21" s="27">
        <v>0.6</v>
      </c>
      <c r="L21" s="161" t="s">
        <v>476</v>
      </c>
      <c r="M21" s="162">
        <v>2.57</v>
      </c>
    </row>
    <row r="22" spans="1:13">
      <c r="A22" s="5" t="s">
        <v>402</v>
      </c>
      <c r="B22" s="27">
        <v>3.6</v>
      </c>
      <c r="L22" s="163" t="s">
        <v>397</v>
      </c>
      <c r="M22" s="164">
        <v>2.4</v>
      </c>
    </row>
    <row r="23" spans="1:13">
      <c r="A23" s="5" t="s">
        <v>405</v>
      </c>
      <c r="B23" s="27">
        <v>2.8</v>
      </c>
      <c r="L23" s="161" t="s">
        <v>398</v>
      </c>
      <c r="M23" s="162">
        <v>1.2</v>
      </c>
    </row>
    <row r="24" spans="1:13">
      <c r="A24" s="5" t="s">
        <v>407</v>
      </c>
      <c r="B24" s="27">
        <v>2.1</v>
      </c>
      <c r="L24" s="163" t="s">
        <v>399</v>
      </c>
      <c r="M24" s="164">
        <v>1.5</v>
      </c>
    </row>
    <row r="25" spans="1:13">
      <c r="L25" s="161" t="s">
        <v>401</v>
      </c>
      <c r="M25" s="162">
        <v>1.2</v>
      </c>
    </row>
    <row r="26" spans="1:13">
      <c r="L26" s="163" t="s">
        <v>403</v>
      </c>
      <c r="M26" s="164">
        <v>0.6</v>
      </c>
    </row>
    <row r="27" spans="1:13">
      <c r="L27" s="161" t="s">
        <v>402</v>
      </c>
      <c r="M27" s="162">
        <v>3.6</v>
      </c>
    </row>
    <row r="28" spans="1:13">
      <c r="L28" s="163" t="s">
        <v>405</v>
      </c>
      <c r="M28" s="164">
        <v>2.8</v>
      </c>
    </row>
    <row r="29" spans="1:13">
      <c r="L29" s="165" t="s">
        <v>407</v>
      </c>
      <c r="M29" s="166">
        <v>2.1</v>
      </c>
    </row>
  </sheetData>
  <sheetProtection sheet="1" objects="1" scenarios="1"/>
  <pageMargins left="0.75" right="0.75" top="1" bottom="1" header="0.5" footer="0.5"/>
  <pageSetup paperSize="9" orientation="portrait" horizontalDpi="4294967292" verticalDpi="4294967292"/>
  <tableParts count="2">
    <tablePart r:id="rId1"/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ntesFeuille" enableFormatConditionsCalculation="0">
    <pageSetUpPr autoPageBreaks="0"/>
  </sheetPr>
  <dimension ref="A1:H4"/>
  <sheetViews>
    <sheetView showGridLines="0" workbookViewId="0">
      <selection activeCell="C37" sqref="C37"/>
    </sheetView>
  </sheetViews>
  <sheetFormatPr baseColWidth="10" defaultColWidth="10.83203125" defaultRowHeight="14" x14ac:dyDescent="0"/>
  <cols>
    <col min="1" max="1" width="17" style="13" customWidth="1"/>
    <col min="2" max="2" width="10.83203125" style="12"/>
    <col min="3" max="3" width="20" style="12" customWidth="1"/>
    <col min="4" max="4" width="21.83203125" style="12" bestFit="1" customWidth="1"/>
    <col min="5" max="5" width="29.83203125" style="12" bestFit="1" customWidth="1"/>
    <col min="6" max="6" width="12.83203125" style="12" customWidth="1"/>
    <col min="7" max="7" width="10.83203125" style="26"/>
    <col min="8" max="8" width="11.1640625" style="26" customWidth="1"/>
    <col min="9" max="16384" width="10.83203125" style="12"/>
  </cols>
  <sheetData>
    <row r="1" spans="1:8">
      <c r="A1" s="14" t="s">
        <v>24</v>
      </c>
      <c r="B1" s="9" t="s">
        <v>25</v>
      </c>
      <c r="C1" s="9" t="s">
        <v>30</v>
      </c>
      <c r="D1" s="9" t="s">
        <v>23</v>
      </c>
      <c r="E1" s="9" t="s">
        <v>26</v>
      </c>
      <c r="F1" s="9" t="s">
        <v>27</v>
      </c>
      <c r="G1" s="25" t="s">
        <v>28</v>
      </c>
      <c r="H1" s="25" t="s">
        <v>29</v>
      </c>
    </row>
    <row r="2" spans="1:8">
      <c r="A2" s="179">
        <v>44572</v>
      </c>
      <c r="B2" s="180">
        <v>1</v>
      </c>
      <c r="C2" s="181" t="s">
        <v>132</v>
      </c>
      <c r="D2" s="181" t="s">
        <v>130</v>
      </c>
      <c r="E2" s="182" t="s">
        <v>5</v>
      </c>
      <c r="F2" s="182">
        <v>2</v>
      </c>
      <c r="G2" s="183">
        <v>1.2</v>
      </c>
      <c r="H2" s="183">
        <v>2.4</v>
      </c>
    </row>
    <row r="3" spans="1:8">
      <c r="A3" s="179">
        <v>44572</v>
      </c>
      <c r="B3" s="180">
        <v>1</v>
      </c>
      <c r="C3" s="181" t="s">
        <v>133</v>
      </c>
      <c r="D3" s="181" t="s">
        <v>19</v>
      </c>
      <c r="E3" s="182" t="s">
        <v>5</v>
      </c>
      <c r="F3" s="182">
        <v>3</v>
      </c>
      <c r="G3" s="183">
        <v>1.2</v>
      </c>
      <c r="H3" s="183">
        <v>3.6</v>
      </c>
    </row>
    <row r="4" spans="1:8">
      <c r="A4" s="179">
        <v>44572</v>
      </c>
      <c r="B4" s="180">
        <v>1</v>
      </c>
      <c r="C4" s="181" t="s">
        <v>136</v>
      </c>
      <c r="D4" s="181" t="s">
        <v>137</v>
      </c>
      <c r="E4" s="182" t="s">
        <v>5</v>
      </c>
      <c r="F4" s="182">
        <v>6</v>
      </c>
      <c r="G4" s="183">
        <v>1.2</v>
      </c>
      <c r="H4" s="183">
        <v>7.2</v>
      </c>
    </row>
  </sheetData>
  <sheetProtection sheet="1" objects="1" scenarios="1"/>
  <dataConsolidate/>
  <phoneticPr fontId="10" type="noConversion"/>
  <conditionalFormatting sqref="A1 A3:A4">
    <cfRule type="expression" dxfId="79" priority="7">
      <formula>_1__xlfn.ISFORMULA(A1)</formula>
    </cfRule>
  </conditionalFormatting>
  <conditionalFormatting sqref="A2:A4">
    <cfRule type="expression" dxfId="78" priority="5">
      <formula>_1__xlfn.ISFORMULA(A2)</formula>
    </cfRule>
  </conditionalFormatting>
  <conditionalFormatting sqref="G2:G4">
    <cfRule type="expression" dxfId="77" priority="6">
      <formula>ISFORMULA(G526)</formula>
    </cfRule>
  </conditionalFormatting>
  <dataValidations count="1">
    <dataValidation type="list" allowBlank="1" showInputMessage="1" showErrorMessage="1" sqref="D2:D4">
      <formula1>abrégécréancier</formula1>
    </dataValidation>
  </dataValidations>
  <pageMargins left="0.75" right="0.75" top="1" bottom="1" header="0.5" footer="0.5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actureFeuille" enableFormatConditionsCalculation="0">
    <pageSetUpPr fitToPage="1"/>
  </sheetPr>
  <dimension ref="A1:F72"/>
  <sheetViews>
    <sheetView showGridLines="0" showRowColHeaders="0" view="pageLayout" workbookViewId="0">
      <selection activeCell="A30" sqref="A30"/>
    </sheetView>
  </sheetViews>
  <sheetFormatPr baseColWidth="10" defaultRowHeight="15" x14ac:dyDescent="0"/>
  <cols>
    <col min="1" max="1" width="33.5" customWidth="1"/>
    <col min="2" max="2" width="51.83203125" customWidth="1"/>
    <col min="3" max="3" width="26" customWidth="1"/>
    <col min="4" max="4" width="22.33203125" customWidth="1"/>
    <col min="5" max="5" width="26.33203125" customWidth="1"/>
    <col min="6" max="6" width="65.33203125" customWidth="1"/>
    <col min="7" max="7" width="2.83203125" customWidth="1"/>
    <col min="12" max="12" width="10.83203125" customWidth="1"/>
  </cols>
  <sheetData>
    <row r="1" spans="1:6" ht="17" customHeight="1">
      <c r="A1" s="216" t="s">
        <v>94</v>
      </c>
      <c r="B1" s="216"/>
      <c r="C1" s="216"/>
      <c r="D1" s="217" t="s">
        <v>95</v>
      </c>
      <c r="E1" s="217"/>
      <c r="F1" s="218"/>
    </row>
    <row r="2" spans="1:6" ht="26">
      <c r="A2" s="94"/>
      <c r="B2" s="104"/>
      <c r="C2" s="105"/>
      <c r="D2" s="111"/>
      <c r="E2" s="112"/>
      <c r="F2" s="121"/>
    </row>
    <row r="3" spans="1:6" ht="23">
      <c r="A3" s="30"/>
      <c r="B3" s="108" t="s">
        <v>36</v>
      </c>
      <c r="C3" s="106"/>
      <c r="D3" s="113"/>
      <c r="E3" s="114"/>
      <c r="F3" s="122"/>
    </row>
    <row r="4" spans="1:6" ht="26">
      <c r="A4" s="30"/>
      <c r="B4" s="108" t="s">
        <v>99</v>
      </c>
      <c r="C4" s="103"/>
      <c r="D4" s="115"/>
      <c r="E4" s="116"/>
      <c r="F4" s="123"/>
    </row>
    <row r="5" spans="1:6" ht="23">
      <c r="A5" s="30"/>
      <c r="B5" s="109" t="s">
        <v>97</v>
      </c>
      <c r="C5" s="103"/>
      <c r="D5" s="117"/>
      <c r="E5" s="118"/>
      <c r="F5" s="124"/>
    </row>
    <row r="6" spans="1:6" ht="23" customHeight="1">
      <c r="A6" s="102"/>
      <c r="B6" s="109" t="s">
        <v>98</v>
      </c>
      <c r="C6" s="103"/>
      <c r="D6" s="249"/>
      <c r="E6" s="250"/>
      <c r="F6" s="251"/>
    </row>
    <row r="7" spans="1:6" ht="26">
      <c r="A7" s="102"/>
      <c r="B7" s="110" t="s">
        <v>96</v>
      </c>
      <c r="C7" s="103"/>
      <c r="D7" s="125"/>
      <c r="E7" s="107"/>
      <c r="F7" s="126"/>
    </row>
    <row r="8" spans="1:6" ht="23">
      <c r="A8" s="102"/>
      <c r="B8" s="97"/>
      <c r="C8" s="96"/>
      <c r="D8" s="119"/>
      <c r="E8" s="120"/>
      <c r="F8" s="127"/>
    </row>
    <row r="9" spans="1:6" ht="17" customHeight="1">
      <c r="A9" s="31" t="s">
        <v>37</v>
      </c>
      <c r="B9" s="95" t="s">
        <v>38</v>
      </c>
      <c r="C9" s="96"/>
      <c r="D9" s="119"/>
      <c r="E9" s="120"/>
      <c r="F9" s="127"/>
    </row>
    <row r="10" spans="1:6" ht="17" customHeight="1">
      <c r="A10" s="31" t="s">
        <v>39</v>
      </c>
      <c r="B10" s="95" t="s">
        <v>40</v>
      </c>
      <c r="C10" s="96"/>
      <c r="D10" s="119"/>
      <c r="E10" s="120"/>
      <c r="F10" s="127"/>
    </row>
    <row r="11" spans="1:6" ht="17" customHeight="1">
      <c r="A11" s="31" t="s">
        <v>41</v>
      </c>
      <c r="B11" s="95" t="s">
        <v>42</v>
      </c>
      <c r="C11" s="98"/>
      <c r="D11" s="119"/>
      <c r="E11" s="120"/>
      <c r="F11" s="127"/>
    </row>
    <row r="12" spans="1:6" ht="23">
      <c r="A12" s="99"/>
      <c r="B12" s="100" t="s">
        <v>43</v>
      </c>
      <c r="C12" s="101"/>
      <c r="D12" s="128"/>
      <c r="E12" s="129"/>
      <c r="F12" s="130"/>
    </row>
    <row r="13" spans="1:6">
      <c r="A13" s="32"/>
      <c r="B13" s="33"/>
      <c r="C13" s="33"/>
      <c r="D13" s="34"/>
      <c r="E13" s="35"/>
      <c r="F13" s="35"/>
    </row>
    <row r="14" spans="1:6">
      <c r="A14" s="32"/>
      <c r="B14" s="36"/>
      <c r="C14" s="36"/>
      <c r="D14" s="36"/>
      <c r="E14" s="36"/>
      <c r="F14" s="32"/>
    </row>
    <row r="15" spans="1:6" ht="31">
      <c r="A15" s="247" t="s">
        <v>44</v>
      </c>
      <c r="B15" s="247"/>
      <c r="C15" s="247"/>
      <c r="D15" s="247"/>
      <c r="E15" s="247"/>
      <c r="F15" s="247"/>
    </row>
    <row r="16" spans="1:6" ht="28">
      <c r="A16" s="248" t="s">
        <v>45</v>
      </c>
      <c r="B16" s="248"/>
      <c r="C16" s="248"/>
      <c r="D16" s="248"/>
      <c r="E16" s="248"/>
      <c r="F16" s="248"/>
    </row>
    <row r="17" spans="1:6">
      <c r="A17" s="32"/>
      <c r="B17" s="252"/>
      <c r="C17" s="252"/>
      <c r="D17" s="252"/>
      <c r="E17" s="252"/>
      <c r="F17" s="32"/>
    </row>
    <row r="18" spans="1:6" ht="15" customHeight="1">
      <c r="A18" s="253" t="s">
        <v>46</v>
      </c>
      <c r="B18" s="253"/>
      <c r="C18" s="253"/>
      <c r="D18" s="253"/>
      <c r="E18" s="253"/>
      <c r="F18" s="253"/>
    </row>
    <row r="19" spans="1:6" ht="17">
      <c r="A19" s="231" t="s">
        <v>47</v>
      </c>
      <c r="B19" s="231"/>
      <c r="C19" s="231"/>
      <c r="D19" s="231"/>
      <c r="E19" s="231"/>
      <c r="F19" s="231"/>
    </row>
    <row r="20" spans="1:6">
      <c r="A20" s="32"/>
      <c r="B20" s="37"/>
      <c r="C20" s="37"/>
      <c r="D20" s="37"/>
      <c r="E20" s="37"/>
      <c r="F20" s="32"/>
    </row>
    <row r="21" spans="1:6" ht="31" customHeight="1">
      <c r="A21" s="131" t="s">
        <v>100</v>
      </c>
      <c r="B21" s="131" t="s">
        <v>101</v>
      </c>
      <c r="C21" s="131" t="s">
        <v>48</v>
      </c>
      <c r="D21" s="131" t="s">
        <v>102</v>
      </c>
      <c r="E21" s="131" t="s">
        <v>103</v>
      </c>
      <c r="F21" s="131" t="s">
        <v>104</v>
      </c>
    </row>
    <row r="22" spans="1:6" ht="26">
      <c r="A22" s="143"/>
      <c r="B22" s="143"/>
      <c r="C22" s="145"/>
      <c r="D22" s="145"/>
      <c r="E22" s="142"/>
      <c r="F22" s="144"/>
    </row>
    <row r="23" spans="1:6">
      <c r="A23" s="38"/>
      <c r="B23" s="39"/>
      <c r="C23" s="40"/>
      <c r="D23" s="39"/>
      <c r="E23" s="38"/>
      <c r="F23" s="38"/>
    </row>
    <row r="24" spans="1:6" ht="15" customHeight="1">
      <c r="A24" s="232" t="s">
        <v>49</v>
      </c>
      <c r="B24" s="232"/>
      <c r="C24" s="232"/>
      <c r="D24" s="232"/>
      <c r="E24" s="232"/>
      <c r="F24" s="232"/>
    </row>
    <row r="25" spans="1:6">
      <c r="A25" s="232" t="s">
        <v>50</v>
      </c>
      <c r="B25" s="232"/>
      <c r="C25" s="232"/>
      <c r="D25" s="232"/>
      <c r="E25" s="232"/>
      <c r="F25" s="232"/>
    </row>
    <row r="26" spans="1:6">
      <c r="A26" s="32"/>
      <c r="B26" s="238"/>
      <c r="C26" s="238"/>
      <c r="D26" s="238"/>
      <c r="E26" s="238"/>
      <c r="F26" s="32"/>
    </row>
    <row r="27" spans="1:6" ht="23">
      <c r="A27" s="32"/>
      <c r="B27" s="41"/>
      <c r="C27" s="42" t="s">
        <v>51</v>
      </c>
      <c r="D27" s="146" t="str">
        <f>ConvNombreLettre(_sommedue,1,0,1,0)</f>
        <v>Zéro euro</v>
      </c>
      <c r="E27" s="43"/>
      <c r="F27" s="44"/>
    </row>
    <row r="28" spans="1:6">
      <c r="A28" s="32"/>
      <c r="B28" s="45"/>
      <c r="C28" s="45"/>
      <c r="D28" s="45"/>
      <c r="E28" s="45"/>
      <c r="F28" s="32"/>
    </row>
    <row r="29" spans="1:6" ht="17">
      <c r="A29" s="32"/>
      <c r="B29" s="46"/>
      <c r="C29" s="47" t="s">
        <v>52</v>
      </c>
      <c r="D29" s="239"/>
      <c r="E29" s="239"/>
      <c r="F29" s="32"/>
    </row>
    <row r="30" spans="1:6" ht="17">
      <c r="A30" s="32"/>
      <c r="B30" s="48"/>
      <c r="C30" s="48"/>
      <c r="D30" s="49"/>
      <c r="E30" s="32"/>
      <c r="F30" s="148"/>
    </row>
    <row r="31" spans="1:6">
      <c r="A31" s="38"/>
      <c r="B31" s="50" t="s">
        <v>53</v>
      </c>
      <c r="C31" s="51"/>
      <c r="D31" s="32"/>
      <c r="E31" s="52"/>
      <c r="F31" s="52" t="s">
        <v>54</v>
      </c>
    </row>
    <row r="32" spans="1:6">
      <c r="A32" s="38"/>
      <c r="B32" s="50" t="str">
        <f>IF(E22&gt;100,"","par délégation")</f>
        <v>par délégation</v>
      </c>
      <c r="C32" s="50"/>
      <c r="D32" s="52"/>
      <c r="E32" s="52"/>
      <c r="F32" s="46"/>
    </row>
    <row r="33" spans="1:6">
      <c r="A33" s="38"/>
      <c r="B33" s="50"/>
      <c r="C33" s="50"/>
      <c r="D33" s="52"/>
      <c r="E33" s="52"/>
      <c r="F33" s="46"/>
    </row>
    <row r="34" spans="1:6">
      <c r="A34" s="38"/>
      <c r="B34" s="50"/>
      <c r="C34" s="50"/>
      <c r="D34" s="52"/>
      <c r="E34" s="52"/>
      <c r="F34" s="46"/>
    </row>
    <row r="35" spans="1:6">
      <c r="A35" s="38"/>
      <c r="B35" s="240"/>
      <c r="C35" s="240"/>
      <c r="D35" s="52"/>
      <c r="E35" s="52"/>
      <c r="F35" s="46"/>
    </row>
    <row r="36" spans="1:6">
      <c r="A36" s="38"/>
      <c r="B36" s="53" t="s">
        <v>55</v>
      </c>
      <c r="C36" s="46"/>
      <c r="D36" s="38"/>
      <c r="E36" s="46"/>
      <c r="F36" s="46" t="str">
        <f>B36</f>
        <v>Mme Véronique GUILBERT</v>
      </c>
    </row>
    <row r="37" spans="1:6">
      <c r="A37" s="38"/>
      <c r="B37" s="53"/>
      <c r="C37" s="53"/>
      <c r="D37" s="53"/>
      <c r="E37" s="53"/>
      <c r="F37" s="46"/>
    </row>
    <row r="38" spans="1:6" ht="16" thickBot="1">
      <c r="A38" s="32"/>
      <c r="B38" s="241"/>
      <c r="C38" s="241"/>
      <c r="D38" s="241"/>
      <c r="E38" s="241"/>
      <c r="F38" s="32"/>
    </row>
    <row r="39" spans="1:6" ht="16" thickBot="1">
      <c r="A39" s="242" t="s">
        <v>56</v>
      </c>
      <c r="B39" s="243"/>
      <c r="C39" s="244"/>
      <c r="D39" s="245"/>
      <c r="E39" s="245"/>
      <c r="F39" s="246"/>
    </row>
    <row r="40" spans="1:6" ht="17">
      <c r="A40" s="54"/>
      <c r="B40" s="32"/>
      <c r="C40" s="55" t="s">
        <v>57</v>
      </c>
      <c r="D40" s="56"/>
      <c r="E40" s="56"/>
      <c r="F40" s="57"/>
    </row>
    <row r="41" spans="1:6">
      <c r="A41" s="227" t="s">
        <v>58</v>
      </c>
      <c r="B41" s="228"/>
      <c r="C41" s="58" t="s">
        <v>59</v>
      </c>
      <c r="D41" s="59"/>
      <c r="E41" s="59"/>
      <c r="F41" s="60"/>
    </row>
    <row r="42" spans="1:6">
      <c r="A42" s="229" t="s">
        <v>60</v>
      </c>
      <c r="B42" s="230"/>
      <c r="C42" s="61" t="s">
        <v>61</v>
      </c>
      <c r="D42" s="59"/>
      <c r="E42" s="59"/>
      <c r="F42" s="60"/>
    </row>
    <row r="43" spans="1:6">
      <c r="A43" s="227" t="s">
        <v>62</v>
      </c>
      <c r="B43" s="228"/>
      <c r="C43" s="61" t="s">
        <v>63</v>
      </c>
      <c r="D43" s="59"/>
      <c r="E43" s="59"/>
      <c r="F43" s="60"/>
    </row>
    <row r="44" spans="1:6">
      <c r="A44" s="227" t="s">
        <v>64</v>
      </c>
      <c r="B44" s="228"/>
      <c r="C44" s="62" t="s">
        <v>65</v>
      </c>
      <c r="D44" s="63"/>
      <c r="E44" s="63"/>
      <c r="F44" s="64"/>
    </row>
    <row r="45" spans="1:6">
      <c r="A45" s="65" t="s">
        <v>39</v>
      </c>
      <c r="B45" s="66" t="s">
        <v>66</v>
      </c>
      <c r="C45" s="58"/>
      <c r="D45" s="59"/>
      <c r="E45" s="59"/>
      <c r="F45" s="60"/>
    </row>
    <row r="46" spans="1:6">
      <c r="A46" s="65" t="s">
        <v>41</v>
      </c>
      <c r="B46" s="66" t="s">
        <v>67</v>
      </c>
      <c r="C46" s="67" t="s">
        <v>68</v>
      </c>
      <c r="D46" s="68"/>
      <c r="E46" s="68"/>
      <c r="F46" s="69"/>
    </row>
    <row r="47" spans="1:6">
      <c r="A47" s="65" t="s">
        <v>69</v>
      </c>
      <c r="B47" s="70" t="s">
        <v>70</v>
      </c>
      <c r="C47" s="71" t="s">
        <v>71</v>
      </c>
      <c r="D47" s="72"/>
      <c r="E47" s="72"/>
      <c r="F47" s="73"/>
    </row>
    <row r="48" spans="1:6" ht="16" thickBot="1">
      <c r="A48" s="65" t="s">
        <v>72</v>
      </c>
      <c r="B48" s="74" t="s">
        <v>73</v>
      </c>
      <c r="C48" s="233" t="s">
        <v>74</v>
      </c>
      <c r="D48" s="234"/>
      <c r="E48" s="234"/>
      <c r="F48" s="235"/>
    </row>
    <row r="49" spans="1:6" ht="16" thickBot="1">
      <c r="A49" s="236" t="s">
        <v>75</v>
      </c>
      <c r="B49" s="237"/>
      <c r="C49" s="233"/>
      <c r="D49" s="234"/>
      <c r="E49" s="234"/>
      <c r="F49" s="235"/>
    </row>
    <row r="50" spans="1:6" ht="17">
      <c r="A50" s="75"/>
      <c r="B50" s="76"/>
      <c r="C50" s="219"/>
      <c r="D50" s="220"/>
      <c r="E50" s="220"/>
      <c r="F50" s="221"/>
    </row>
    <row r="51" spans="1:6" ht="17">
      <c r="A51" s="222" t="s">
        <v>76</v>
      </c>
      <c r="B51" s="223"/>
      <c r="C51" s="219" t="s">
        <v>77</v>
      </c>
      <c r="D51" s="220"/>
      <c r="E51" s="220"/>
      <c r="F51" s="221"/>
    </row>
    <row r="52" spans="1:6">
      <c r="A52" s="77" t="s">
        <v>78</v>
      </c>
      <c r="B52" s="78">
        <f>D6</f>
        <v>0</v>
      </c>
      <c r="C52" s="224" t="s">
        <v>79</v>
      </c>
      <c r="D52" s="225"/>
      <c r="E52" s="225"/>
      <c r="F52" s="226"/>
    </row>
    <row r="53" spans="1:6">
      <c r="A53" s="77" t="s">
        <v>80</v>
      </c>
      <c r="B53" s="79">
        <f>C22</f>
        <v>0</v>
      </c>
      <c r="C53" s="224" t="s">
        <v>81</v>
      </c>
      <c r="D53" s="225"/>
      <c r="E53" s="225"/>
      <c r="F53" s="226"/>
    </row>
    <row r="54" spans="1:6">
      <c r="A54" s="77" t="s">
        <v>82</v>
      </c>
      <c r="B54" s="79">
        <f>D22</f>
        <v>0</v>
      </c>
      <c r="C54" s="208" t="s">
        <v>83</v>
      </c>
      <c r="D54" s="209"/>
      <c r="E54" s="209"/>
      <c r="F54" s="210"/>
    </row>
    <row r="55" spans="1:6">
      <c r="A55" s="77" t="s">
        <v>84</v>
      </c>
      <c r="B55" s="78">
        <f>F22</f>
        <v>0</v>
      </c>
      <c r="C55" s="208" t="s">
        <v>85</v>
      </c>
      <c r="D55" s="209"/>
      <c r="E55" s="209"/>
      <c r="F55" s="210"/>
    </row>
    <row r="56" spans="1:6" ht="16" thickBot="1">
      <c r="A56" s="80" t="s">
        <v>86</v>
      </c>
      <c r="B56" s="81">
        <f>E22</f>
        <v>0</v>
      </c>
      <c r="C56" s="82" t="s">
        <v>87</v>
      </c>
      <c r="D56" s="83"/>
      <c r="E56" s="83"/>
      <c r="F56" s="84"/>
    </row>
    <row r="57" spans="1:6">
      <c r="A57" s="32"/>
      <c r="B57" s="32"/>
      <c r="C57" s="38"/>
      <c r="D57" s="38"/>
      <c r="E57" s="38"/>
      <c r="F57" s="38"/>
    </row>
    <row r="58" spans="1:6" ht="16" thickBot="1">
      <c r="A58" s="32"/>
      <c r="B58" s="32"/>
      <c r="C58" s="32"/>
      <c r="D58" s="32"/>
      <c r="E58" s="32"/>
      <c r="F58" s="32"/>
    </row>
    <row r="59" spans="1:6" ht="18" thickBot="1">
      <c r="A59" s="211" t="s">
        <v>88</v>
      </c>
      <c r="B59" s="212"/>
      <c r="C59" s="212"/>
      <c r="D59" s="212"/>
      <c r="E59" s="212"/>
      <c r="F59" s="213"/>
    </row>
    <row r="60" spans="1:6" ht="17">
      <c r="A60" s="214"/>
      <c r="B60" s="214"/>
      <c r="C60" s="214"/>
      <c r="D60" s="214"/>
      <c r="E60" s="214"/>
      <c r="F60" s="214"/>
    </row>
    <row r="61" spans="1:6" ht="17">
      <c r="A61" s="32"/>
      <c r="B61" s="85"/>
      <c r="C61" s="85"/>
      <c r="D61" s="85"/>
      <c r="E61" s="86"/>
      <c r="F61" s="85"/>
    </row>
    <row r="62" spans="1:6">
      <c r="A62" s="215"/>
      <c r="B62" s="215"/>
      <c r="C62" s="215"/>
      <c r="D62" s="215"/>
      <c r="E62" s="215"/>
      <c r="F62" s="215"/>
    </row>
    <row r="63" spans="1:6">
      <c r="A63" s="140" t="s">
        <v>89</v>
      </c>
      <c r="B63" s="136" t="s">
        <v>90</v>
      </c>
      <c r="C63" s="136" t="s">
        <v>91</v>
      </c>
      <c r="D63" s="136" t="s">
        <v>92</v>
      </c>
      <c r="E63" s="135" t="s">
        <v>93</v>
      </c>
    </row>
    <row r="64" spans="1:6">
      <c r="A64" s="138"/>
      <c r="B64" s="137"/>
      <c r="C64" s="196"/>
      <c r="D64" s="137"/>
      <c r="E64" s="196"/>
      <c r="F64" s="87"/>
    </row>
    <row r="65" spans="1:6" ht="18">
      <c r="A65" s="139" t="s">
        <v>106</v>
      </c>
      <c r="B65" s="141" t="s">
        <v>0</v>
      </c>
      <c r="C65" s="133"/>
      <c r="D65" s="132"/>
      <c r="E65" s="134">
        <f>SUBTOTAL(109,_objetsVendus[Total Vente])</f>
        <v>0</v>
      </c>
      <c r="F65" s="87"/>
    </row>
    <row r="66" spans="1:6">
      <c r="A66" s="89"/>
      <c r="C66" s="90"/>
      <c r="D66" s="91"/>
      <c r="E66" s="91"/>
      <c r="F66" s="87"/>
    </row>
    <row r="67" spans="1:6">
      <c r="A67" s="89"/>
      <c r="C67" s="90"/>
      <c r="D67" s="91"/>
      <c r="E67" s="91"/>
      <c r="F67" s="88"/>
    </row>
    <row r="68" spans="1:6">
      <c r="A68" s="92"/>
      <c r="B68" s="92"/>
      <c r="C68" s="92"/>
      <c r="D68" s="93"/>
      <c r="E68" s="91"/>
    </row>
    <row r="69" spans="1:6">
      <c r="A69" s="89"/>
      <c r="F69" s="91"/>
    </row>
    <row r="70" spans="1:6">
      <c r="A70" s="89"/>
      <c r="F70" s="91"/>
    </row>
    <row r="71" spans="1:6">
      <c r="A71" s="89"/>
      <c r="F71" s="91"/>
    </row>
    <row r="72" spans="1:6">
      <c r="A72" s="89"/>
    </row>
  </sheetData>
  <mergeCells count="33">
    <mergeCell ref="A15:F15"/>
    <mergeCell ref="A16:F16"/>
    <mergeCell ref="D6:F6"/>
    <mergeCell ref="B17:E17"/>
    <mergeCell ref="A18:F18"/>
    <mergeCell ref="A19:F19"/>
    <mergeCell ref="A24:F24"/>
    <mergeCell ref="A25:F25"/>
    <mergeCell ref="C48:F48"/>
    <mergeCell ref="A49:B49"/>
    <mergeCell ref="C49:F49"/>
    <mergeCell ref="B26:E26"/>
    <mergeCell ref="D29:E29"/>
    <mergeCell ref="B35:C35"/>
    <mergeCell ref="B38:E38"/>
    <mergeCell ref="A39:B39"/>
    <mergeCell ref="C39:F39"/>
    <mergeCell ref="C55:F55"/>
    <mergeCell ref="A59:F59"/>
    <mergeCell ref="A60:F60"/>
    <mergeCell ref="A62:F62"/>
    <mergeCell ref="A1:C1"/>
    <mergeCell ref="D1:F1"/>
    <mergeCell ref="C50:F50"/>
    <mergeCell ref="A51:B51"/>
    <mergeCell ref="C51:F51"/>
    <mergeCell ref="C52:F52"/>
    <mergeCell ref="C53:F53"/>
    <mergeCell ref="C54:F54"/>
    <mergeCell ref="A41:B41"/>
    <mergeCell ref="A42:B42"/>
    <mergeCell ref="A43:B43"/>
    <mergeCell ref="A44:B44"/>
  </mergeCells>
  <phoneticPr fontId="10" type="noConversion"/>
  <conditionalFormatting sqref="A64">
    <cfRule type="expression" dxfId="59" priority="1">
      <formula>#REF!="Total général"</formula>
    </cfRule>
  </conditionalFormatting>
  <pageMargins left="0.24000000000000002" right="0.24000000000000002" top="0.35000000000000003" bottom="0.55000000000000004" header="0.31" footer="0.31"/>
  <pageSetup paperSize="9" scale="41" orientation="portrait"/>
  <ignoredErrors>
    <ignoredError sqref="F36" unlockedFormula="1"/>
  </ignoredErrors>
  <drawing r:id="rId1"/>
  <tableParts count="1">
    <tablePart r:id="rId2"/>
  </tableParts>
  <extLst>
    <ext xmlns:mx="http://schemas.microsoft.com/office/mac/excel/2008/main" uri="{64002731-A6B0-56B0-2670-7721B7C09600}">
      <mx:PLV Mode="1" OnePage="0" WScale="10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roitsFeuille" enableFormatConditionsCalculation="0"/>
  <dimension ref="A1:H27"/>
  <sheetViews>
    <sheetView topLeftCell="A2" workbookViewId="0">
      <selection activeCell="C40" sqref="C40"/>
    </sheetView>
  </sheetViews>
  <sheetFormatPr baseColWidth="10" defaultRowHeight="15" x14ac:dyDescent="0"/>
  <cols>
    <col min="1" max="1" width="24.1640625" bestFit="1" customWidth="1"/>
    <col min="2" max="2" width="19.6640625" bestFit="1" customWidth="1"/>
    <col min="4" max="4" width="22.83203125" bestFit="1" customWidth="1"/>
    <col min="5" max="5" width="24.33203125" customWidth="1"/>
    <col min="6" max="7" width="21.6640625" bestFit="1" customWidth="1"/>
  </cols>
  <sheetData>
    <row r="1" spans="1:8">
      <c r="A1" t="s">
        <v>34</v>
      </c>
    </row>
    <row r="3" spans="1:8">
      <c r="A3" t="s">
        <v>33</v>
      </c>
      <c r="B3" t="s">
        <v>549</v>
      </c>
      <c r="D3" s="254"/>
      <c r="E3" s="254"/>
      <c r="F3" s="254"/>
      <c r="G3" s="254"/>
    </row>
    <row r="4" spans="1:8">
      <c r="B4" t="s">
        <v>0</v>
      </c>
      <c r="D4" t="s">
        <v>35</v>
      </c>
      <c r="E4" t="s">
        <v>539</v>
      </c>
      <c r="F4" t="s">
        <v>540</v>
      </c>
      <c r="G4" t="s">
        <v>541</v>
      </c>
    </row>
    <row r="5" spans="1:8">
      <c r="A5" s="10" t="s">
        <v>413</v>
      </c>
      <c r="B5">
        <f t="shared" ref="B5" si="0">IF(ISNA(INDEX(D5:I5,MATCH($B$3,$D$4:$I$4,))),0,INDEX(D5:I5,MATCH($B$3,$D$4:$I$4,)))</f>
        <v>0</v>
      </c>
      <c r="D5" s="3" t="s">
        <v>1</v>
      </c>
      <c r="E5" s="3" t="s">
        <v>2</v>
      </c>
      <c r="F5" s="3" t="s">
        <v>3</v>
      </c>
      <c r="G5" s="3" t="s">
        <v>414</v>
      </c>
    </row>
    <row r="6" spans="1:8">
      <c r="A6" s="4" t="s">
        <v>422</v>
      </c>
      <c r="B6">
        <f t="shared" ref="B6:B18" si="1">IF(ISNA(INDEX(D6:I6,MATCH($B$3,$D$4:$I$4,))),0,INDEX(D6:I6,MATCH($B$3,$D$4:$I$4,)))</f>
        <v>0</v>
      </c>
      <c r="D6" s="2" t="b">
        <v>1</v>
      </c>
      <c r="E6" s="2" t="b">
        <v>1</v>
      </c>
      <c r="F6" s="2" t="b">
        <v>1</v>
      </c>
      <c r="G6" s="2" t="b">
        <v>1</v>
      </c>
      <c r="H6" s="1"/>
    </row>
    <row r="7" spans="1:8">
      <c r="A7" s="4" t="s">
        <v>420</v>
      </c>
      <c r="B7">
        <f t="shared" si="1"/>
        <v>0</v>
      </c>
      <c r="D7" s="2" t="b">
        <v>0</v>
      </c>
      <c r="E7" s="2" t="b">
        <v>0</v>
      </c>
      <c r="F7" s="2" t="b">
        <v>0</v>
      </c>
      <c r="G7" s="2" t="b">
        <v>1</v>
      </c>
    </row>
    <row r="8" spans="1:8">
      <c r="A8" s="4" t="s">
        <v>416</v>
      </c>
      <c r="B8">
        <f t="shared" si="1"/>
        <v>0</v>
      </c>
      <c r="D8" s="2" t="b">
        <v>1</v>
      </c>
      <c r="E8" s="2" t="b">
        <v>0</v>
      </c>
      <c r="F8" s="2" t="b">
        <v>0</v>
      </c>
      <c r="G8" s="2" t="b">
        <v>1</v>
      </c>
    </row>
    <row r="9" spans="1:8">
      <c r="A9" s="4" t="s">
        <v>423</v>
      </c>
      <c r="B9">
        <f t="shared" si="1"/>
        <v>0</v>
      </c>
      <c r="D9" s="2" t="b">
        <v>0</v>
      </c>
      <c r="E9" s="2" t="b">
        <v>0</v>
      </c>
      <c r="F9" s="2" t="b">
        <v>0</v>
      </c>
      <c r="G9" s="2" t="b">
        <v>1</v>
      </c>
    </row>
    <row r="10" spans="1:8">
      <c r="A10" s="4" t="s">
        <v>419</v>
      </c>
      <c r="B10">
        <f t="shared" si="1"/>
        <v>0</v>
      </c>
      <c r="D10" s="2" t="b">
        <v>0</v>
      </c>
      <c r="E10" s="2" t="b">
        <v>0</v>
      </c>
      <c r="F10" s="2" t="b">
        <v>0</v>
      </c>
      <c r="G10" s="2" t="b">
        <v>1</v>
      </c>
    </row>
    <row r="11" spans="1:8">
      <c r="A11" s="4" t="s">
        <v>417</v>
      </c>
      <c r="B11">
        <f t="shared" si="1"/>
        <v>0</v>
      </c>
      <c r="D11" s="2" t="b">
        <v>1</v>
      </c>
      <c r="E11" s="2" t="b">
        <v>0</v>
      </c>
      <c r="F11" s="2" t="b">
        <v>0</v>
      </c>
      <c r="G11" s="2" t="b">
        <v>1</v>
      </c>
    </row>
    <row r="12" spans="1:8">
      <c r="A12" s="4" t="s">
        <v>421</v>
      </c>
      <c r="B12">
        <f t="shared" si="1"/>
        <v>0</v>
      </c>
      <c r="D12" s="2" t="b">
        <v>0</v>
      </c>
      <c r="E12" s="2" t="b">
        <v>0</v>
      </c>
      <c r="F12" s="2" t="b">
        <v>0</v>
      </c>
      <c r="G12" s="2" t="b">
        <v>1</v>
      </c>
    </row>
    <row r="13" spans="1:8">
      <c r="A13" s="4" t="s">
        <v>415</v>
      </c>
      <c r="B13">
        <f t="shared" si="1"/>
        <v>0</v>
      </c>
      <c r="D13" s="2" t="b">
        <v>0</v>
      </c>
      <c r="E13" s="2" t="b">
        <v>1</v>
      </c>
      <c r="F13" s="2" t="b">
        <v>1</v>
      </c>
      <c r="G13" s="2" t="b">
        <v>1</v>
      </c>
    </row>
    <row r="14" spans="1:8">
      <c r="A14" s="4" t="s">
        <v>418</v>
      </c>
      <c r="B14">
        <f t="shared" si="1"/>
        <v>0</v>
      </c>
      <c r="D14" s="2" t="b">
        <v>1</v>
      </c>
      <c r="E14" s="2" t="b">
        <v>0</v>
      </c>
      <c r="F14" s="2" t="b">
        <v>0</v>
      </c>
      <c r="G14" s="2" t="b">
        <v>1</v>
      </c>
    </row>
    <row r="15" spans="1:8">
      <c r="A15" s="4"/>
      <c r="B15">
        <f t="shared" si="1"/>
        <v>0</v>
      </c>
    </row>
    <row r="16" spans="1:8">
      <c r="A16" s="4"/>
      <c r="B16">
        <f t="shared" si="1"/>
        <v>0</v>
      </c>
    </row>
    <row r="17" spans="1:2">
      <c r="A17" s="4"/>
      <c r="B17">
        <f t="shared" si="1"/>
        <v>0</v>
      </c>
    </row>
    <row r="18" spans="1:2">
      <c r="A18" s="4"/>
      <c r="B18">
        <f t="shared" si="1"/>
        <v>0</v>
      </c>
    </row>
    <row r="19" spans="1:2">
      <c r="A19" s="4"/>
    </row>
    <row r="27" spans="1:2">
      <c r="B27" s="159"/>
    </row>
  </sheetData>
  <mergeCells count="1">
    <mergeCell ref="D3:G3"/>
  </mergeCells>
  <conditionalFormatting sqref="D6:E14 G6:G14 F11:F15">
    <cfRule type="containsText" dxfId="43" priority="5" operator="containsText" text="VRAI">
      <formula>NOT(ISERROR(SEARCH("VRAI",D6)))</formula>
    </cfRule>
  </conditionalFormatting>
  <conditionalFormatting sqref="H6">
    <cfRule type="containsText" dxfId="42" priority="4" operator="containsText" text="VRAI">
      <formula>NOT(ISERROR(SEARCH("VRAI",H6)))</formula>
    </cfRule>
  </conditionalFormatting>
  <conditionalFormatting sqref="F6:F10">
    <cfRule type="containsText" dxfId="41" priority="3" operator="containsText" text="VRAI">
      <formula>NOT(ISERROR(SEARCH("VRAI",F6)))</formula>
    </cfRule>
  </conditionalFormatting>
  <dataValidations count="1">
    <dataValidation type="list" allowBlank="1" showInputMessage="1" showErrorMessage="1" sqref="D6:G14">
      <formula1>"Vrai,Faux"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B6:B11 B16:B18 B12:B14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utonsFeuille" enableFormatConditionsCalculation="0"/>
  <dimension ref="G1"/>
  <sheetViews>
    <sheetView topLeftCell="A4" workbookViewId="0">
      <selection activeCell="B12" sqref="B12"/>
    </sheetView>
  </sheetViews>
  <sheetFormatPr baseColWidth="10" defaultRowHeight="15" x14ac:dyDescent="0"/>
  <sheetData>
    <row r="1" spans="7:7">
      <c r="G1" t="s">
        <v>32</v>
      </c>
    </row>
  </sheetData>
  <dataConsolidate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gnatureFeuille" enableFormatConditionsCalculation="0"/>
  <dimension ref="F1"/>
  <sheetViews>
    <sheetView workbookViewId="0">
      <selection activeCell="C22" sqref="C22"/>
    </sheetView>
  </sheetViews>
  <sheetFormatPr baseColWidth="10" defaultRowHeight="15" x14ac:dyDescent="0"/>
  <sheetData>
    <row r="1" spans="6:6">
      <c r="F1" t="s">
        <v>31</v>
      </c>
    </row>
  </sheetData>
  <dataConsolidate/>
  <phoneticPr fontId="10" type="noConversion"/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iviFeuille" enableFormatConditionsCalculation="0"/>
  <dimension ref="A1:J33"/>
  <sheetViews>
    <sheetView workbookViewId="0">
      <selection activeCell="J1" sqref="J1"/>
    </sheetView>
  </sheetViews>
  <sheetFormatPr baseColWidth="10" defaultColWidth="10.83203125" defaultRowHeight="15" x14ac:dyDescent="0"/>
  <cols>
    <col min="1" max="1" width="16.1640625" style="147" bestFit="1" customWidth="1"/>
    <col min="2" max="2" width="27" style="147" bestFit="1" customWidth="1"/>
    <col min="3" max="3" width="12.33203125" style="147" customWidth="1"/>
    <col min="4" max="4" width="15.1640625" style="147" customWidth="1"/>
    <col min="5" max="5" width="11.5" style="147" customWidth="1"/>
    <col min="6" max="6" width="11.6640625" style="147" bestFit="1" customWidth="1"/>
    <col min="7" max="7" width="9.83203125" style="147" customWidth="1"/>
    <col min="8" max="9" width="9.1640625" style="147" customWidth="1"/>
    <col min="10" max="10" width="17.6640625" style="147" bestFit="1" customWidth="1"/>
    <col min="11" max="16384" width="10.83203125" style="147"/>
  </cols>
  <sheetData>
    <row r="1" spans="1:10">
      <c r="A1" s="158" t="s">
        <v>121</v>
      </c>
      <c r="B1" s="158" t="s">
        <v>23</v>
      </c>
      <c r="C1" s="158" t="s">
        <v>122</v>
      </c>
      <c r="D1" s="158" t="s">
        <v>123</v>
      </c>
      <c r="E1" s="158" t="s">
        <v>128</v>
      </c>
      <c r="F1" s="158" t="s">
        <v>124</v>
      </c>
      <c r="G1" s="158" t="s">
        <v>126</v>
      </c>
      <c r="H1" s="158" t="s">
        <v>127</v>
      </c>
      <c r="I1" s="158" t="s">
        <v>129</v>
      </c>
      <c r="J1" s="158" t="s">
        <v>125</v>
      </c>
    </row>
    <row r="2" spans="1:10">
      <c r="A2" s="184" t="s">
        <v>550</v>
      </c>
      <c r="B2" s="184" t="s">
        <v>130</v>
      </c>
      <c r="C2" s="185">
        <v>44572</v>
      </c>
      <c r="D2" s="185">
        <v>44592</v>
      </c>
      <c r="E2" s="185">
        <v>44572</v>
      </c>
      <c r="F2" s="186">
        <v>2.4</v>
      </c>
      <c r="G2" s="187"/>
      <c r="H2" s="188" t="s">
        <v>553</v>
      </c>
      <c r="I2" s="188"/>
      <c r="J2" s="189" t="s">
        <v>554</v>
      </c>
    </row>
    <row r="3" spans="1:10">
      <c r="A3" s="184" t="s">
        <v>551</v>
      </c>
      <c r="B3" s="184" t="s">
        <v>19</v>
      </c>
      <c r="C3" s="185">
        <v>44572</v>
      </c>
      <c r="D3" s="185">
        <v>44592</v>
      </c>
      <c r="E3" s="185">
        <v>44572</v>
      </c>
      <c r="F3" s="186">
        <v>3.6</v>
      </c>
      <c r="G3" s="187" t="s">
        <v>553</v>
      </c>
      <c r="H3" s="188"/>
      <c r="I3" s="188"/>
      <c r="J3" s="189" t="s">
        <v>554</v>
      </c>
    </row>
    <row r="4" spans="1:10">
      <c r="A4" s="184" t="s">
        <v>552</v>
      </c>
      <c r="B4" s="184" t="s">
        <v>137</v>
      </c>
      <c r="C4" s="185">
        <v>44572</v>
      </c>
      <c r="D4" s="185">
        <v>44592</v>
      </c>
      <c r="E4" s="185">
        <v>44572</v>
      </c>
      <c r="F4" s="186">
        <v>7.2</v>
      </c>
      <c r="G4" s="187"/>
      <c r="H4" s="188" t="s">
        <v>553</v>
      </c>
      <c r="I4" s="188"/>
      <c r="J4" s="189" t="s">
        <v>554</v>
      </c>
    </row>
    <row r="5" spans="1:10">
      <c r="A5" s="190" t="s">
        <v>106</v>
      </c>
      <c r="B5" s="190"/>
      <c r="C5" s="191"/>
      <c r="D5" s="191"/>
      <c r="E5" s="191"/>
      <c r="F5" s="192">
        <f>SUBTOTAL(109,_suiviFactures[Montant])</f>
        <v>13.2</v>
      </c>
      <c r="G5" s="193"/>
      <c r="H5" s="194"/>
      <c r="I5" s="194"/>
      <c r="J5" s="195"/>
    </row>
    <row r="12" spans="1:10">
      <c r="E12" s="157"/>
    </row>
    <row r="13" spans="1:10">
      <c r="E13" s="157"/>
    </row>
    <row r="33" spans="6:6">
      <c r="F33" s="159"/>
    </row>
  </sheetData>
  <sheetProtection sheet="1" objects="1" scenarios="1"/>
  <dataConsolidate/>
  <pageMargins left="0.75" right="0.75" top="1" bottom="1" header="0.5" footer="0.5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StringsFeuille" enableFormatConditionsCalculation="0"/>
  <dimension ref="A3:H110"/>
  <sheetViews>
    <sheetView topLeftCell="A3" workbookViewId="0">
      <selection activeCell="G56" sqref="G56"/>
    </sheetView>
  </sheetViews>
  <sheetFormatPr baseColWidth="10" defaultRowHeight="15" x14ac:dyDescent="0"/>
  <cols>
    <col min="1" max="1" width="6.83203125" customWidth="1"/>
    <col min="2" max="2" width="111.33203125" bestFit="1" customWidth="1"/>
    <col min="3" max="3" width="5" customWidth="1"/>
    <col min="4" max="4" width="11.5" customWidth="1"/>
    <col min="5" max="5" width="104.33203125" bestFit="1" customWidth="1"/>
    <col min="7" max="7" width="10.1640625" customWidth="1"/>
    <col min="8" max="8" width="101.33203125" bestFit="1" customWidth="1"/>
    <col min="10" max="10" width="8" bestFit="1" customWidth="1"/>
    <col min="11" max="11" width="33.6640625" bestFit="1" customWidth="1"/>
    <col min="13" max="13" width="11.5" customWidth="1"/>
    <col min="14" max="14" width="82.1640625" bestFit="1" customWidth="1"/>
    <col min="16" max="16" width="11.5" customWidth="1"/>
    <col min="17" max="17" width="102" bestFit="1" customWidth="1"/>
    <col min="19" max="19" width="8" bestFit="1" customWidth="1"/>
    <col min="20" max="20" width="97.1640625" bestFit="1" customWidth="1"/>
    <col min="22" max="22" width="8" bestFit="1" customWidth="1"/>
    <col min="23" max="23" width="102" bestFit="1" customWidth="1"/>
    <col min="25" max="25" width="11.5" customWidth="1"/>
    <col min="26" max="26" width="98.5" bestFit="1" customWidth="1"/>
    <col min="28" max="28" width="11.5" customWidth="1"/>
    <col min="29" max="29" width="90.33203125" bestFit="1" customWidth="1"/>
    <col min="31" max="31" width="8" bestFit="1" customWidth="1"/>
    <col min="32" max="32" width="29.6640625" bestFit="1" customWidth="1"/>
    <col min="34" max="34" width="8" bestFit="1" customWidth="1"/>
    <col min="35" max="35" width="29.33203125" bestFit="1" customWidth="1"/>
  </cols>
  <sheetData>
    <row r="3" spans="1:8">
      <c r="B3" s="171" t="s">
        <v>483</v>
      </c>
      <c r="E3" s="171" t="s">
        <v>495</v>
      </c>
      <c r="H3" s="171" t="s">
        <v>499</v>
      </c>
    </row>
    <row r="5" spans="1:8">
      <c r="A5" s="170" t="s">
        <v>481</v>
      </c>
      <c r="B5" s="170" t="s">
        <v>482</v>
      </c>
      <c r="D5" s="88" t="s">
        <v>481</v>
      </c>
      <c r="E5" s="88" t="s">
        <v>494</v>
      </c>
      <c r="G5" s="88" t="s">
        <v>481</v>
      </c>
      <c r="H5" s="88" t="s">
        <v>496</v>
      </c>
    </row>
    <row r="6" spans="1:8">
      <c r="A6" s="157">
        <v>1</v>
      </c>
      <c r="B6" s="157" t="s">
        <v>425</v>
      </c>
      <c r="D6">
        <v>1</v>
      </c>
      <c r="E6" t="s">
        <v>35</v>
      </c>
      <c r="G6">
        <v>1</v>
      </c>
      <c r="H6" t="s">
        <v>424</v>
      </c>
    </row>
    <row r="7" spans="1:8">
      <c r="A7" s="157">
        <v>2</v>
      </c>
      <c r="B7" s="157" t="s">
        <v>435</v>
      </c>
      <c r="D7" s="97">
        <v>2</v>
      </c>
      <c r="E7" s="97" t="s">
        <v>539</v>
      </c>
    </row>
    <row r="8" spans="1:8">
      <c r="A8" s="157">
        <v>3</v>
      </c>
      <c r="B8" s="157" t="s">
        <v>426</v>
      </c>
      <c r="D8" s="97">
        <v>3</v>
      </c>
      <c r="E8" s="97" t="s">
        <v>540</v>
      </c>
    </row>
    <row r="9" spans="1:8">
      <c r="A9" s="157">
        <v>4</v>
      </c>
      <c r="B9" s="157" t="s">
        <v>427</v>
      </c>
      <c r="D9" s="97">
        <v>4</v>
      </c>
      <c r="E9" s="97" t="s">
        <v>541</v>
      </c>
    </row>
    <row r="10" spans="1:8">
      <c r="A10" s="157">
        <v>5</v>
      </c>
      <c r="B10" s="157" t="s">
        <v>428</v>
      </c>
    </row>
    <row r="11" spans="1:8">
      <c r="A11" s="157">
        <v>6</v>
      </c>
      <c r="B11" s="157" t="s">
        <v>429</v>
      </c>
    </row>
    <row r="12" spans="1:8">
      <c r="A12" s="157">
        <v>7</v>
      </c>
      <c r="B12" s="157" t="s">
        <v>430</v>
      </c>
    </row>
    <row r="13" spans="1:8">
      <c r="A13" s="157">
        <v>8</v>
      </c>
      <c r="B13" s="157" t="s">
        <v>431</v>
      </c>
    </row>
    <row r="14" spans="1:8">
      <c r="A14" s="157">
        <v>9</v>
      </c>
      <c r="B14" s="173" t="s">
        <v>500</v>
      </c>
      <c r="E14" s="167"/>
    </row>
    <row r="15" spans="1:8">
      <c r="A15" s="157">
        <v>10</v>
      </c>
      <c r="B15" s="157" t="s">
        <v>432</v>
      </c>
      <c r="E15" s="167"/>
    </row>
    <row r="16" spans="1:8">
      <c r="A16" s="157">
        <v>11</v>
      </c>
      <c r="B16" s="157" t="s">
        <v>433</v>
      </c>
      <c r="E16" s="169"/>
    </row>
    <row r="17" spans="1:8">
      <c r="A17" s="157">
        <v>12</v>
      </c>
      <c r="B17" s="157" t="s">
        <v>434</v>
      </c>
      <c r="C17" s="168"/>
      <c r="D17" s="168"/>
      <c r="E17" s="168"/>
    </row>
    <row r="18" spans="1:8">
      <c r="A18" s="97">
        <v>13</v>
      </c>
      <c r="B18" s="173" t="s">
        <v>501</v>
      </c>
      <c r="C18" s="168"/>
      <c r="D18" s="168"/>
      <c r="E18" s="168"/>
    </row>
    <row r="19" spans="1:8">
      <c r="A19" s="97">
        <v>14</v>
      </c>
      <c r="B19" s="173" t="s">
        <v>542</v>
      </c>
      <c r="C19" s="168"/>
      <c r="D19" s="168"/>
      <c r="E19" s="168"/>
    </row>
    <row r="20" spans="1:8">
      <c r="B20" s="168"/>
      <c r="C20" s="168"/>
      <c r="D20" s="168"/>
      <c r="E20" s="168"/>
    </row>
    <row r="21" spans="1:8">
      <c r="B21" s="168"/>
      <c r="C21" s="168"/>
      <c r="D21" s="168"/>
      <c r="E21" s="168"/>
    </row>
    <row r="22" spans="1:8">
      <c r="B22" s="168"/>
      <c r="C22" s="168"/>
      <c r="D22" s="168"/>
      <c r="E22" s="168"/>
    </row>
    <row r="23" spans="1:8">
      <c r="B23" s="168"/>
      <c r="C23" s="168"/>
      <c r="E23" s="171" t="s">
        <v>486</v>
      </c>
      <c r="H23" s="171" t="s">
        <v>487</v>
      </c>
    </row>
    <row r="24" spans="1:8">
      <c r="B24" s="171" t="s">
        <v>493</v>
      </c>
      <c r="C24" s="168"/>
    </row>
    <row r="25" spans="1:8">
      <c r="C25" s="168"/>
      <c r="D25" s="88" t="s">
        <v>481</v>
      </c>
      <c r="E25" s="88" t="s">
        <v>482</v>
      </c>
      <c r="G25" s="88" t="s">
        <v>481</v>
      </c>
      <c r="H25" s="88" t="s">
        <v>482</v>
      </c>
    </row>
    <row r="26" spans="1:8">
      <c r="A26" t="s">
        <v>481</v>
      </c>
      <c r="B26" t="s">
        <v>482</v>
      </c>
      <c r="C26" s="168"/>
      <c r="D26">
        <v>1</v>
      </c>
      <c r="E26" t="s">
        <v>445</v>
      </c>
      <c r="G26" s="175">
        <v>1</v>
      </c>
      <c r="H26" s="176" t="s">
        <v>498</v>
      </c>
    </row>
    <row r="27" spans="1:8">
      <c r="A27">
        <v>1</v>
      </c>
      <c r="B27" t="s">
        <v>498</v>
      </c>
      <c r="C27" s="168"/>
      <c r="D27">
        <v>2</v>
      </c>
      <c r="E27" t="s">
        <v>446</v>
      </c>
      <c r="G27" s="175">
        <v>2</v>
      </c>
      <c r="H27" s="176" t="s">
        <v>515</v>
      </c>
    </row>
    <row r="28" spans="1:8">
      <c r="A28">
        <v>2</v>
      </c>
      <c r="B28" t="s">
        <v>472</v>
      </c>
      <c r="C28" s="168"/>
      <c r="D28">
        <v>3</v>
      </c>
      <c r="E28" t="s">
        <v>447</v>
      </c>
      <c r="G28" s="175">
        <v>3</v>
      </c>
      <c r="H28" s="176" t="s">
        <v>516</v>
      </c>
    </row>
    <row r="29" spans="1:8">
      <c r="A29">
        <v>3</v>
      </c>
      <c r="B29" t="s">
        <v>473</v>
      </c>
      <c r="C29" s="168"/>
      <c r="D29">
        <v>4</v>
      </c>
      <c r="E29" t="s">
        <v>448</v>
      </c>
      <c r="G29" s="175">
        <v>4</v>
      </c>
      <c r="H29" t="s">
        <v>544</v>
      </c>
    </row>
    <row r="30" spans="1:8">
      <c r="A30">
        <v>4</v>
      </c>
      <c r="B30" t="s">
        <v>477</v>
      </c>
      <c r="C30" s="168"/>
      <c r="D30" s="168"/>
      <c r="E30" s="168"/>
      <c r="G30" s="175">
        <v>5</v>
      </c>
      <c r="H30" t="s">
        <v>543</v>
      </c>
    </row>
    <row r="31" spans="1:8">
      <c r="A31">
        <v>5</v>
      </c>
      <c r="B31" t="s">
        <v>480</v>
      </c>
      <c r="C31" s="168"/>
      <c r="D31" s="168"/>
      <c r="E31" s="168"/>
      <c r="G31" s="175">
        <v>6</v>
      </c>
      <c r="H31" t="s">
        <v>520</v>
      </c>
    </row>
    <row r="32" spans="1:8">
      <c r="B32" s="168"/>
      <c r="C32" s="168"/>
      <c r="D32" s="168"/>
      <c r="E32" s="168"/>
      <c r="G32" s="175">
        <v>7</v>
      </c>
      <c r="H32" t="s">
        <v>450</v>
      </c>
    </row>
    <row r="33" spans="1:8">
      <c r="B33" s="168"/>
      <c r="C33" s="168"/>
      <c r="D33" s="168"/>
      <c r="E33" s="168"/>
      <c r="G33" s="175">
        <v>8</v>
      </c>
      <c r="H33" t="s">
        <v>451</v>
      </c>
    </row>
    <row r="34" spans="1:8">
      <c r="B34" s="168"/>
      <c r="C34" s="168"/>
      <c r="D34" s="168"/>
      <c r="E34" s="168"/>
      <c r="G34" s="175">
        <v>9</v>
      </c>
      <c r="H34" t="s">
        <v>452</v>
      </c>
    </row>
    <row r="35" spans="1:8">
      <c r="B35" s="168"/>
      <c r="C35" s="168"/>
      <c r="D35" s="168"/>
      <c r="E35" s="168"/>
      <c r="G35" s="175">
        <v>10</v>
      </c>
      <c r="H35" t="s">
        <v>453</v>
      </c>
    </row>
    <row r="36" spans="1:8">
      <c r="B36" s="168"/>
      <c r="C36" s="168"/>
      <c r="D36" s="168"/>
      <c r="E36" s="168"/>
      <c r="G36" s="175">
        <v>11</v>
      </c>
      <c r="H36" t="s">
        <v>454</v>
      </c>
    </row>
    <row r="37" spans="1:8">
      <c r="B37" s="168"/>
      <c r="C37" s="168"/>
    </row>
    <row r="38" spans="1:8">
      <c r="B38" s="168"/>
      <c r="C38" s="168"/>
      <c r="E38" s="171" t="s">
        <v>488</v>
      </c>
    </row>
    <row r="39" spans="1:8">
      <c r="B39" s="171" t="s">
        <v>502</v>
      </c>
      <c r="C39" s="168"/>
    </row>
    <row r="40" spans="1:8">
      <c r="C40" s="168"/>
      <c r="D40" s="88" t="s">
        <v>481</v>
      </c>
      <c r="E40" s="88" t="s">
        <v>482</v>
      </c>
      <c r="H40" s="171" t="s">
        <v>489</v>
      </c>
    </row>
    <row r="41" spans="1:8">
      <c r="A41" t="s">
        <v>481</v>
      </c>
      <c r="B41" t="s">
        <v>482</v>
      </c>
      <c r="C41" s="168"/>
      <c r="D41">
        <v>1</v>
      </c>
      <c r="E41" t="s">
        <v>508</v>
      </c>
    </row>
    <row r="42" spans="1:8">
      <c r="A42">
        <v>1</v>
      </c>
      <c r="B42" t="s">
        <v>498</v>
      </c>
      <c r="C42" s="168"/>
      <c r="D42">
        <v>2</v>
      </c>
      <c r="E42" t="s">
        <v>505</v>
      </c>
      <c r="G42" s="88" t="s">
        <v>481</v>
      </c>
      <c r="H42" s="88" t="s">
        <v>482</v>
      </c>
    </row>
    <row r="43" spans="1:8">
      <c r="A43">
        <v>2</v>
      </c>
      <c r="B43" t="s">
        <v>504</v>
      </c>
      <c r="C43" s="168"/>
      <c r="D43">
        <v>3</v>
      </c>
      <c r="E43" t="s">
        <v>445</v>
      </c>
      <c r="G43" s="175">
        <v>1</v>
      </c>
      <c r="H43" s="176" t="s">
        <v>498</v>
      </c>
    </row>
    <row r="44" spans="1:8">
      <c r="A44">
        <v>3</v>
      </c>
      <c r="B44" t="s">
        <v>472</v>
      </c>
      <c r="C44" s="168"/>
      <c r="D44">
        <v>4</v>
      </c>
      <c r="E44" t="s">
        <v>446</v>
      </c>
      <c r="G44">
        <v>2</v>
      </c>
      <c r="H44" t="s">
        <v>517</v>
      </c>
    </row>
    <row r="45" spans="1:8">
      <c r="A45">
        <v>4</v>
      </c>
      <c r="B45" t="s">
        <v>473</v>
      </c>
      <c r="C45" s="168"/>
      <c r="D45">
        <v>5</v>
      </c>
      <c r="E45" t="s">
        <v>455</v>
      </c>
      <c r="G45">
        <v>3</v>
      </c>
      <c r="H45" t="s">
        <v>456</v>
      </c>
    </row>
    <row r="46" spans="1:8">
      <c r="A46">
        <v>5</v>
      </c>
      <c r="B46" t="s">
        <v>477</v>
      </c>
      <c r="C46" s="168"/>
      <c r="D46">
        <v>6</v>
      </c>
      <c r="E46" s="156" t="s">
        <v>457</v>
      </c>
      <c r="G46">
        <v>4</v>
      </c>
      <c r="H46" t="s">
        <v>449</v>
      </c>
    </row>
    <row r="47" spans="1:8">
      <c r="A47">
        <v>6</v>
      </c>
      <c r="B47" t="s">
        <v>479</v>
      </c>
      <c r="C47" s="168"/>
      <c r="D47">
        <v>7</v>
      </c>
      <c r="E47" s="156" t="s">
        <v>458</v>
      </c>
      <c r="G47">
        <v>5</v>
      </c>
      <c r="H47" t="s">
        <v>543</v>
      </c>
    </row>
    <row r="48" spans="1:8">
      <c r="A48">
        <v>7</v>
      </c>
      <c r="B48" t="s">
        <v>457</v>
      </c>
      <c r="C48" s="168"/>
      <c r="D48">
        <v>8</v>
      </c>
      <c r="E48" t="s">
        <v>471</v>
      </c>
      <c r="G48">
        <v>6</v>
      </c>
      <c r="H48" t="s">
        <v>519</v>
      </c>
    </row>
    <row r="49" spans="1:8">
      <c r="A49">
        <v>8</v>
      </c>
      <c r="B49" t="s">
        <v>458</v>
      </c>
      <c r="C49" s="168"/>
      <c r="D49" s="173">
        <v>9</v>
      </c>
      <c r="E49" s="173" t="s">
        <v>526</v>
      </c>
      <c r="G49">
        <v>7</v>
      </c>
      <c r="H49" t="s">
        <v>451</v>
      </c>
    </row>
    <row r="50" spans="1:8">
      <c r="A50">
        <v>9</v>
      </c>
      <c r="B50" t="s">
        <v>478</v>
      </c>
      <c r="C50" s="168"/>
      <c r="D50" s="168"/>
      <c r="E50" s="168"/>
      <c r="G50">
        <v>8</v>
      </c>
      <c r="H50" t="s">
        <v>457</v>
      </c>
    </row>
    <row r="51" spans="1:8">
      <c r="B51" s="168"/>
      <c r="C51" s="168"/>
      <c r="D51" s="168"/>
      <c r="E51" s="168"/>
      <c r="G51">
        <v>9</v>
      </c>
      <c r="H51" t="s">
        <v>458</v>
      </c>
    </row>
    <row r="52" spans="1:8">
      <c r="B52" s="168"/>
      <c r="C52" s="168"/>
      <c r="D52" s="168"/>
      <c r="E52" s="168"/>
      <c r="G52">
        <v>10</v>
      </c>
      <c r="H52" t="s">
        <v>459</v>
      </c>
    </row>
    <row r="53" spans="1:8">
      <c r="B53" s="168"/>
      <c r="C53" s="168"/>
      <c r="D53" s="168"/>
      <c r="E53" s="168"/>
      <c r="G53">
        <v>11</v>
      </c>
      <c r="H53" t="s">
        <v>453</v>
      </c>
    </row>
    <row r="54" spans="1:8">
      <c r="B54" s="168"/>
      <c r="C54" s="168"/>
      <c r="D54" s="168"/>
      <c r="E54" s="168"/>
      <c r="G54">
        <v>12</v>
      </c>
      <c r="H54" t="s">
        <v>454</v>
      </c>
    </row>
    <row r="55" spans="1:8">
      <c r="B55" s="168"/>
      <c r="C55" s="168"/>
      <c r="G55" s="97">
        <v>13</v>
      </c>
      <c r="H55" s="97" t="s">
        <v>523</v>
      </c>
    </row>
    <row r="56" spans="1:8">
      <c r="C56" s="168"/>
      <c r="E56" s="171" t="s">
        <v>490</v>
      </c>
    </row>
    <row r="57" spans="1:8">
      <c r="B57" s="171" t="s">
        <v>497</v>
      </c>
      <c r="C57" s="168"/>
    </row>
    <row r="58" spans="1:8">
      <c r="C58" s="168"/>
      <c r="D58" s="88" t="s">
        <v>481</v>
      </c>
      <c r="E58" s="88" t="s">
        <v>482</v>
      </c>
      <c r="H58" s="171" t="s">
        <v>491</v>
      </c>
    </row>
    <row r="59" spans="1:8">
      <c r="A59" s="88" t="s">
        <v>481</v>
      </c>
      <c r="B59" s="88" t="s">
        <v>482</v>
      </c>
      <c r="C59" s="168"/>
      <c r="D59" s="97">
        <v>1</v>
      </c>
      <c r="E59" t="s">
        <v>509</v>
      </c>
    </row>
    <row r="60" spans="1:8">
      <c r="A60" s="175">
        <v>1</v>
      </c>
      <c r="B60" s="174" t="s">
        <v>498</v>
      </c>
      <c r="C60" s="168"/>
      <c r="D60" s="97">
        <v>2</v>
      </c>
      <c r="E60" s="172" t="s">
        <v>510</v>
      </c>
      <c r="G60" s="88" t="s">
        <v>481</v>
      </c>
      <c r="H60" s="88" t="s">
        <v>482</v>
      </c>
    </row>
    <row r="61" spans="1:8">
      <c r="A61" s="97">
        <v>2</v>
      </c>
      <c r="B61" s="172" t="s">
        <v>512</v>
      </c>
      <c r="C61" s="168"/>
      <c r="D61" s="97">
        <v>3</v>
      </c>
      <c r="E61" s="172" t="s">
        <v>511</v>
      </c>
      <c r="G61" s="175">
        <v>1</v>
      </c>
      <c r="H61" s="176" t="s">
        <v>498</v>
      </c>
    </row>
    <row r="62" spans="1:8">
      <c r="A62" s="97">
        <v>3</v>
      </c>
      <c r="B62" s="172" t="s">
        <v>513</v>
      </c>
      <c r="C62" s="168"/>
      <c r="D62">
        <v>4</v>
      </c>
      <c r="E62" t="s">
        <v>460</v>
      </c>
      <c r="G62">
        <v>2</v>
      </c>
      <c r="H62" t="s">
        <v>518</v>
      </c>
    </row>
    <row r="63" spans="1:8">
      <c r="A63">
        <v>4</v>
      </c>
      <c r="B63" s="156" t="s">
        <v>460</v>
      </c>
      <c r="C63" s="168"/>
      <c r="D63">
        <v>5</v>
      </c>
      <c r="E63" t="s">
        <v>458</v>
      </c>
      <c r="G63">
        <v>3</v>
      </c>
      <c r="H63" t="s">
        <v>462</v>
      </c>
    </row>
    <row r="64" spans="1:8">
      <c r="A64">
        <v>5</v>
      </c>
      <c r="B64" s="156" t="s">
        <v>458</v>
      </c>
      <c r="C64" s="168"/>
      <c r="D64">
        <v>6</v>
      </c>
      <c r="E64" t="s">
        <v>461</v>
      </c>
      <c r="G64">
        <v>4</v>
      </c>
      <c r="H64" t="s">
        <v>463</v>
      </c>
    </row>
    <row r="65" spans="1:8">
      <c r="A65" s="97">
        <v>6</v>
      </c>
      <c r="B65" s="172" t="s">
        <v>503</v>
      </c>
      <c r="C65" s="168"/>
      <c r="D65" s="168"/>
      <c r="E65" s="168"/>
      <c r="G65">
        <v>5</v>
      </c>
      <c r="H65" t="s">
        <v>460</v>
      </c>
    </row>
    <row r="66" spans="1:8">
      <c r="C66" s="168"/>
      <c r="D66" s="168"/>
      <c r="E66" s="168"/>
      <c r="G66">
        <v>6</v>
      </c>
      <c r="H66" t="s">
        <v>458</v>
      </c>
    </row>
    <row r="67" spans="1:8">
      <c r="C67" s="168"/>
      <c r="D67" s="168"/>
      <c r="E67" s="168"/>
      <c r="G67">
        <v>7</v>
      </c>
      <c r="H67" t="s">
        <v>464</v>
      </c>
    </row>
    <row r="68" spans="1:8">
      <c r="D68" s="168"/>
      <c r="E68" s="168"/>
      <c r="G68" s="97">
        <v>8</v>
      </c>
      <c r="H68" s="97" t="s">
        <v>523</v>
      </c>
    </row>
    <row r="69" spans="1:8">
      <c r="D69" s="168"/>
      <c r="E69" s="177" t="s">
        <v>514</v>
      </c>
    </row>
    <row r="71" spans="1:8">
      <c r="D71" s="170" t="s">
        <v>481</v>
      </c>
      <c r="E71" s="170" t="s">
        <v>482</v>
      </c>
      <c r="H71" s="171" t="s">
        <v>492</v>
      </c>
    </row>
    <row r="72" spans="1:8">
      <c r="D72" s="157">
        <v>1</v>
      </c>
      <c r="E72" s="157" t="s">
        <v>505</v>
      </c>
    </row>
    <row r="73" spans="1:8">
      <c r="D73" s="157">
        <v>2</v>
      </c>
      <c r="E73" s="157" t="s">
        <v>455</v>
      </c>
      <c r="G73" s="88" t="s">
        <v>481</v>
      </c>
      <c r="H73" s="88" t="s">
        <v>482</v>
      </c>
    </row>
    <row r="74" spans="1:8">
      <c r="D74" s="157">
        <v>3</v>
      </c>
      <c r="E74" s="157" t="s">
        <v>447</v>
      </c>
      <c r="G74">
        <v>1</v>
      </c>
      <c r="H74" t="s">
        <v>465</v>
      </c>
    </row>
    <row r="75" spans="1:8">
      <c r="D75" s="157">
        <v>4</v>
      </c>
      <c r="E75" s="157" t="s">
        <v>457</v>
      </c>
      <c r="G75">
        <v>2</v>
      </c>
      <c r="H75" t="s">
        <v>466</v>
      </c>
    </row>
    <row r="76" spans="1:8">
      <c r="D76" s="157">
        <v>5</v>
      </c>
      <c r="E76" s="157" t="s">
        <v>458</v>
      </c>
      <c r="G76">
        <v>3</v>
      </c>
      <c r="H76" t="s">
        <v>467</v>
      </c>
    </row>
    <row r="77" spans="1:8">
      <c r="D77" s="157">
        <v>6</v>
      </c>
      <c r="E77" s="157" t="s">
        <v>525</v>
      </c>
      <c r="G77">
        <v>4</v>
      </c>
      <c r="H77" t="s">
        <v>468</v>
      </c>
    </row>
    <row r="78" spans="1:8">
      <c r="G78">
        <v>5</v>
      </c>
      <c r="H78" t="s">
        <v>469</v>
      </c>
    </row>
    <row r="79" spans="1:8">
      <c r="G79">
        <v>6</v>
      </c>
      <c r="H79" s="3" t="s">
        <v>470</v>
      </c>
    </row>
    <row r="82" spans="1:5">
      <c r="D82" s="168"/>
      <c r="E82" s="168"/>
    </row>
    <row r="83" spans="1:5">
      <c r="C83" s="168"/>
    </row>
    <row r="84" spans="1:5">
      <c r="E84" s="171" t="s">
        <v>485</v>
      </c>
    </row>
    <row r="85" spans="1:5">
      <c r="B85" s="171" t="s">
        <v>484</v>
      </c>
    </row>
    <row r="86" spans="1:5">
      <c r="D86" s="88" t="s">
        <v>481</v>
      </c>
      <c r="E86" s="88" t="s">
        <v>482</v>
      </c>
    </row>
    <row r="87" spans="1:5">
      <c r="A87" s="88" t="s">
        <v>481</v>
      </c>
      <c r="B87" s="88" t="s">
        <v>482</v>
      </c>
      <c r="D87">
        <v>1</v>
      </c>
      <c r="E87" t="s">
        <v>440</v>
      </c>
    </row>
    <row r="88" spans="1:5">
      <c r="A88">
        <v>1</v>
      </c>
      <c r="B88" t="s">
        <v>436</v>
      </c>
      <c r="D88">
        <v>2</v>
      </c>
      <c r="E88" t="s">
        <v>443</v>
      </c>
    </row>
    <row r="89" spans="1:5">
      <c r="A89">
        <v>2</v>
      </c>
      <c r="B89" t="s">
        <v>437</v>
      </c>
      <c r="D89">
        <v>3</v>
      </c>
      <c r="E89" t="s">
        <v>444</v>
      </c>
    </row>
    <row r="90" spans="1:5">
      <c r="A90">
        <v>3</v>
      </c>
      <c r="B90" t="s">
        <v>438</v>
      </c>
      <c r="D90">
        <v>4</v>
      </c>
      <c r="E90" t="s">
        <v>441</v>
      </c>
    </row>
    <row r="91" spans="1:5">
      <c r="A91">
        <v>4</v>
      </c>
      <c r="B91" t="s">
        <v>439</v>
      </c>
      <c r="D91">
        <v>5</v>
      </c>
      <c r="E91" t="s">
        <v>442</v>
      </c>
    </row>
    <row r="92" spans="1:5">
      <c r="A92">
        <v>5</v>
      </c>
      <c r="B92" t="s">
        <v>521</v>
      </c>
      <c r="D92" s="97">
        <v>6</v>
      </c>
      <c r="E92" s="97" t="s">
        <v>524</v>
      </c>
    </row>
    <row r="93" spans="1:5">
      <c r="A93">
        <v>6</v>
      </c>
      <c r="B93" t="s">
        <v>522</v>
      </c>
    </row>
    <row r="98" spans="1:8">
      <c r="E98" s="171" t="s">
        <v>531</v>
      </c>
    </row>
    <row r="99" spans="1:8">
      <c r="B99" s="171" t="s">
        <v>527</v>
      </c>
    </row>
    <row r="100" spans="1:8">
      <c r="D100" s="88" t="s">
        <v>481</v>
      </c>
      <c r="E100" s="88" t="s">
        <v>482</v>
      </c>
      <c r="H100" s="171" t="s">
        <v>532</v>
      </c>
    </row>
    <row r="101" spans="1:8">
      <c r="A101" s="88" t="s">
        <v>481</v>
      </c>
      <c r="B101" s="88" t="s">
        <v>482</v>
      </c>
      <c r="D101" s="175">
        <v>1</v>
      </c>
      <c r="E101" t="s">
        <v>528</v>
      </c>
    </row>
    <row r="102" spans="1:8">
      <c r="A102" s="175">
        <v>1</v>
      </c>
      <c r="B102" t="s">
        <v>528</v>
      </c>
      <c r="D102" s="175">
        <v>2</v>
      </c>
      <c r="E102" t="s">
        <v>129</v>
      </c>
      <c r="G102" s="88" t="s">
        <v>481</v>
      </c>
      <c r="H102" s="88" t="s">
        <v>482</v>
      </c>
    </row>
    <row r="103" spans="1:8">
      <c r="A103" s="175">
        <v>2</v>
      </c>
      <c r="B103" t="s">
        <v>129</v>
      </c>
      <c r="D103" s="175">
        <v>3</v>
      </c>
      <c r="E103" t="s">
        <v>126</v>
      </c>
      <c r="G103" s="175">
        <v>1</v>
      </c>
      <c r="H103" t="s">
        <v>528</v>
      </c>
    </row>
    <row r="104" spans="1:8">
      <c r="A104" s="175">
        <v>3</v>
      </c>
      <c r="B104" t="s">
        <v>126</v>
      </c>
      <c r="D104" s="175">
        <v>4</v>
      </c>
      <c r="E104" s="176" t="s">
        <v>533</v>
      </c>
      <c r="G104" s="175">
        <v>2</v>
      </c>
      <c r="H104" t="s">
        <v>129</v>
      </c>
    </row>
    <row r="105" spans="1:8">
      <c r="A105" s="175">
        <v>4</v>
      </c>
      <c r="B105" s="176" t="s">
        <v>529</v>
      </c>
      <c r="D105" s="175">
        <v>5</v>
      </c>
      <c r="E105" s="176" t="s">
        <v>479</v>
      </c>
      <c r="G105" s="175">
        <v>3</v>
      </c>
      <c r="H105" t="s">
        <v>126</v>
      </c>
    </row>
    <row r="106" spans="1:8">
      <c r="A106" s="175">
        <v>5</v>
      </c>
      <c r="B106" s="176" t="s">
        <v>530</v>
      </c>
      <c r="D106" s="175">
        <v>6</v>
      </c>
      <c r="E106" t="s">
        <v>457</v>
      </c>
      <c r="G106" s="175">
        <v>4</v>
      </c>
      <c r="H106" s="176" t="s">
        <v>536</v>
      </c>
    </row>
    <row r="107" spans="1:8">
      <c r="A107" s="175">
        <v>6</v>
      </c>
      <c r="B107" t="s">
        <v>535</v>
      </c>
      <c r="D107" s="175">
        <v>7</v>
      </c>
      <c r="E107" t="s">
        <v>458</v>
      </c>
      <c r="G107" s="175">
        <v>5</v>
      </c>
      <c r="H107" s="176" t="s">
        <v>537</v>
      </c>
    </row>
    <row r="108" spans="1:8">
      <c r="D108" s="175">
        <v>8</v>
      </c>
      <c r="E108" t="s">
        <v>534</v>
      </c>
      <c r="G108" s="175">
        <v>6</v>
      </c>
      <c r="H108" t="s">
        <v>460</v>
      </c>
    </row>
    <row r="109" spans="1:8">
      <c r="G109" s="175">
        <v>7</v>
      </c>
      <c r="H109" t="s">
        <v>458</v>
      </c>
    </row>
    <row r="110" spans="1:8">
      <c r="G110" s="175">
        <v>8</v>
      </c>
      <c r="H110" t="s">
        <v>538</v>
      </c>
    </row>
  </sheetData>
  <dataConsolidate/>
  <pageMargins left="0.75" right="0.75" top="1" bottom="1" header="0.5" footer="0.5"/>
  <pageSetup paperSize="9" orientation="portrait" horizontalDpi="4294967292" verticalDpi="4294967292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Accueil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Jacques CREPIN</dc:creator>
  <cp:lastModifiedBy>Jacques CREPIN</cp:lastModifiedBy>
  <cp:lastPrinted>2022-01-11T15:30:56Z</cp:lastPrinted>
  <dcterms:created xsi:type="dcterms:W3CDTF">2021-03-20T17:09:07Z</dcterms:created>
  <dcterms:modified xsi:type="dcterms:W3CDTF">2022-01-15T15:56:37Z</dcterms:modified>
</cp:coreProperties>
</file>